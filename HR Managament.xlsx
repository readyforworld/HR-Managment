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eb4\Downloads\project2\"/>
    </mc:Choice>
  </mc:AlternateContent>
  <xr:revisionPtr revIDLastSave="0" documentId="13_ncr:1_{FBB42845-CFBB-463B-8C80-9356E24E8FE0}" xr6:coauthVersionLast="47" xr6:coauthVersionMax="47" xr10:uidLastSave="{00000000-0000-0000-0000-000000000000}"/>
  <bookViews>
    <workbookView xWindow="-120" yWindow="-120" windowWidth="20730" windowHeight="11160" xr2:uid="{7E5984D6-F1FE-4387-8D97-7610C2E4546F}"/>
  </bookViews>
  <sheets>
    <sheet name="Data" sheetId="4" r:id="rId1"/>
    <sheet name="Sheet1" sheetId="5" r:id="rId2"/>
    <sheet name="Pivot" sheetId="3" r:id="rId3"/>
    <sheet name="Dashboard" sheetId="1" r:id="rId4"/>
  </sheets>
  <definedNames>
    <definedName name="_xlchart.v1.0" hidden="1">Pivot!$O$8:$P$8</definedName>
    <definedName name="_xlchart.v1.1" hidden="1">Pivot!$P$10:$Q$10</definedName>
    <definedName name="_xlchart.v1.2" hidden="1">Pivot!$O$9:$P$9</definedName>
    <definedName name="ExternalData_1" localSheetId="0" hidden="1">Data!$A$1:$U$51</definedName>
    <definedName name="ExternalData_1" localSheetId="1" hidden="1">Sheet1!$A$1:$U$51</definedName>
  </definedNames>
  <calcPr calcId="191029"/>
  <pivotCaches>
    <pivotCache cacheId="1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5" i="3" l="1"/>
  <c r="Z4" i="3"/>
  <c r="Y5" i="3"/>
  <c r="Y4" i="3"/>
  <c r="Q9" i="3"/>
  <c r="Q10" i="3"/>
  <c r="P8" i="3"/>
  <c r="Q8" i="3" s="1"/>
  <c r="P9" i="3"/>
  <c r="P10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F211BC-E987-4832-9A6B-72AB7A5D26DD}" keepAlive="1" name="Query - Sheet1" description="Connection to the 'Sheet1' query in the workbook." type="5" refreshedVersion="7" background="1" saveData="1">
    <dbPr connection="Provider=Microsoft.Mashup.OleDb.1;Data Source=$Workbook$;Location=Sheet1;Extended Properties=&quot;&quot;" command="SELECT * FROM [Sheet1]"/>
  </connection>
  <connection id="2" xr16:uid="{71F10713-4CE5-4D10-A597-A26BAECCCD8C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<sst xmlns="http://schemas.openxmlformats.org/spreadsheetml/2006/main" count="1527" uniqueCount="175">
  <si>
    <t>Employee ID</t>
  </si>
  <si>
    <t>Full Name</t>
  </si>
  <si>
    <t>Gender</t>
  </si>
  <si>
    <t>Age</t>
  </si>
  <si>
    <t>Age range</t>
  </si>
  <si>
    <t>Region</t>
  </si>
  <si>
    <t>Job Title</t>
  </si>
  <si>
    <t>Department</t>
  </si>
  <si>
    <t>Manager/Supervisor</t>
  </si>
  <si>
    <t>Date of Hire</t>
  </si>
  <si>
    <t>Employment Status</t>
  </si>
  <si>
    <t>Work Location</t>
  </si>
  <si>
    <t>Salary</t>
  </si>
  <si>
    <t>Pay Grade</t>
  </si>
  <si>
    <t>Bonus/Allowances</t>
  </si>
  <si>
    <t>Insurance Details</t>
  </si>
  <si>
    <t>Leave Taken</t>
  </si>
  <si>
    <t>Performance Rating</t>
  </si>
  <si>
    <t>Training Programs Attended</t>
  </si>
  <si>
    <t>Skills</t>
  </si>
  <si>
    <t>Certifications</t>
  </si>
  <si>
    <t>Lori Nguyen</t>
  </si>
  <si>
    <t>Female</t>
  </si>
  <si>
    <t>18-25</t>
  </si>
  <si>
    <t>East</t>
  </si>
  <si>
    <t>Manager</t>
  </si>
  <si>
    <t>Finance</t>
  </si>
  <si>
    <t>Luis Reynolds</t>
  </si>
  <si>
    <t>Full-Time</t>
  </si>
  <si>
    <t>Head Office</t>
  </si>
  <si>
    <t>C</t>
  </si>
  <si>
    <t>Health</t>
  </si>
  <si>
    <t>Leadership Training</t>
  </si>
  <si>
    <t>Design</t>
  </si>
  <si>
    <t>Certified Professional</t>
  </si>
  <si>
    <t>Gary Garcia</t>
  </si>
  <si>
    <t>Male</t>
  </si>
  <si>
    <t>26-35</t>
  </si>
  <si>
    <t>Central</t>
  </si>
  <si>
    <t>Designer</t>
  </si>
  <si>
    <t>HR</t>
  </si>
  <si>
    <t>Ashley Simmons MD</t>
  </si>
  <si>
    <t>Branch Office</t>
  </si>
  <si>
    <t>B</t>
  </si>
  <si>
    <t>None</t>
  </si>
  <si>
    <t>Excel Workshop</t>
  </si>
  <si>
    <t>Jeremy Nguyen</t>
  </si>
  <si>
    <t>West</t>
  </si>
  <si>
    <t>HR Specialist</t>
  </si>
  <si>
    <t>Marketing</t>
  </si>
  <si>
    <t>Cassandra Duncan</t>
  </si>
  <si>
    <t>Remote</t>
  </si>
  <si>
    <t>D</t>
  </si>
  <si>
    <t>Management</t>
  </si>
  <si>
    <t>Advanced Training</t>
  </si>
  <si>
    <t>Kimberly Jones</t>
  </si>
  <si>
    <t>36-45</t>
  </si>
  <si>
    <t>Operations</t>
  </si>
  <si>
    <t>Janet Harris</t>
  </si>
  <si>
    <t>Contract</t>
  </si>
  <si>
    <t>A</t>
  </si>
  <si>
    <t>Health + Dental</t>
  </si>
  <si>
    <t>Python</t>
  </si>
  <si>
    <t>Anthony Gates</t>
  </si>
  <si>
    <t>56 &lt;</t>
  </si>
  <si>
    <t>Mr. Frank Clay</t>
  </si>
  <si>
    <t>Courtney Foster</t>
  </si>
  <si>
    <t>Developer</t>
  </si>
  <si>
    <t>Dorothy Price</t>
  </si>
  <si>
    <t>Communication</t>
  </si>
  <si>
    <t>Catherine Hall</t>
  </si>
  <si>
    <t>Michele Sexton</t>
  </si>
  <si>
    <t>Deanna Ball</t>
  </si>
  <si>
    <t>South</t>
  </si>
  <si>
    <t>IT</t>
  </si>
  <si>
    <t>Richard Schmidt</t>
  </si>
  <si>
    <t>Candace Nelson</t>
  </si>
  <si>
    <t>Teresa Pearson</t>
  </si>
  <si>
    <t>Mandy Davis</t>
  </si>
  <si>
    <t>Laura Hart</t>
  </si>
  <si>
    <t>Matthew Powell</t>
  </si>
  <si>
    <t>Andrea May</t>
  </si>
  <si>
    <t>Bruce Nelson</t>
  </si>
  <si>
    <t>Casey Martin</t>
  </si>
  <si>
    <t>Excel</t>
  </si>
  <si>
    <t>Dawn Cole</t>
  </si>
  <si>
    <t>46-55</t>
  </si>
  <si>
    <t>Amber Allen</t>
  </si>
  <si>
    <t>Tanner Morse</t>
  </si>
  <si>
    <t>North</t>
  </si>
  <si>
    <t>Adam Johnson</t>
  </si>
  <si>
    <t>Jose Griffin</t>
  </si>
  <si>
    <t>Nicole Dominguez</t>
  </si>
  <si>
    <t>Daniel Hawkins</t>
  </si>
  <si>
    <t>Andrew Best</t>
  </si>
  <si>
    <t>Part-Time</t>
  </si>
  <si>
    <t>Elaine Mcclain</t>
  </si>
  <si>
    <t>Gabrielle Rodriguez</t>
  </si>
  <si>
    <t>Allison Harvey</t>
  </si>
  <si>
    <t>Thomas Kramer</t>
  </si>
  <si>
    <t>Tristan Mejia</t>
  </si>
  <si>
    <t>Kevin Whitaker</t>
  </si>
  <si>
    <t>Analyst</t>
  </si>
  <si>
    <t>Mary Welch</t>
  </si>
  <si>
    <t>Dustin Carter</t>
  </si>
  <si>
    <t>Douglas Miles</t>
  </si>
  <si>
    <t>Nicole Williamson</t>
  </si>
  <si>
    <t>Jessica Fleming</t>
  </si>
  <si>
    <t>Matthew Knight</t>
  </si>
  <si>
    <t>Christine Lee</t>
  </si>
  <si>
    <t>Donna Jones</t>
  </si>
  <si>
    <t>Mario Smith DVM</t>
  </si>
  <si>
    <t>Carolyn Bullock</t>
  </si>
  <si>
    <t>Joseph Francis</t>
  </si>
  <si>
    <t>Wendy Gomez</t>
  </si>
  <si>
    <t>Sarah Young</t>
  </si>
  <si>
    <t>Michael Thomas</t>
  </si>
  <si>
    <t>Aaron Hart</t>
  </si>
  <si>
    <t>Kevin Bell</t>
  </si>
  <si>
    <t>Brian Boyd</t>
  </si>
  <si>
    <t>Richard Landry</t>
  </si>
  <si>
    <t>Steven Krueger</t>
  </si>
  <si>
    <t>George Hurley</t>
  </si>
  <si>
    <t>Debra Williams</t>
  </si>
  <si>
    <t>Mark Lopez</t>
  </si>
  <si>
    <t>Karen Mitchell</t>
  </si>
  <si>
    <t>Robert Williams</t>
  </si>
  <si>
    <t>Joseph Sanders</t>
  </si>
  <si>
    <t>Mary Schmidt</t>
  </si>
  <si>
    <t>Shelly George</t>
  </si>
  <si>
    <t>Mary Martinez</t>
  </si>
  <si>
    <t>Nicole Houston</t>
  </si>
  <si>
    <t>Paul Hall</t>
  </si>
  <si>
    <t>Kristin Shaffer</t>
  </si>
  <si>
    <t>Samantha Foster</t>
  </si>
  <si>
    <t>Joel Aguilar</t>
  </si>
  <si>
    <t>Timothy Aguilar</t>
  </si>
  <si>
    <t>Michael Wade</t>
  </si>
  <si>
    <t>Charles Andrews</t>
  </si>
  <si>
    <t>Jessica Walsh</t>
  </si>
  <si>
    <t>Veronica Nelson</t>
  </si>
  <si>
    <t>Kelly Mack</t>
  </si>
  <si>
    <t>Chris Sanchez</t>
  </si>
  <si>
    <t>John Conley</t>
  </si>
  <si>
    <t>Cassie Galvan</t>
  </si>
  <si>
    <t>Aaron Baker</t>
  </si>
  <si>
    <t>Jessica Jones</t>
  </si>
  <si>
    <t>Christopher Bass</t>
  </si>
  <si>
    <t>Emily Walker</t>
  </si>
  <si>
    <t>Sean Tucker PhD</t>
  </si>
  <si>
    <t>Vickie Lewis</t>
  </si>
  <si>
    <t>Jacob Scott</t>
  </si>
  <si>
    <t>Alexis Clark</t>
  </si>
  <si>
    <t>Joel Park</t>
  </si>
  <si>
    <t>Robert Davis</t>
  </si>
  <si>
    <t>Russell Marshall</t>
  </si>
  <si>
    <t>Daniel Brown MD</t>
  </si>
  <si>
    <t>James Holden</t>
  </si>
  <si>
    <t>Anna Payne</t>
  </si>
  <si>
    <t>Thomas Murphy</t>
  </si>
  <si>
    <t>Rhonda Pena</t>
  </si>
  <si>
    <t>Mark Abbott</t>
  </si>
  <si>
    <t>Nicole Gonzalez</t>
  </si>
  <si>
    <t>Robin Lynch</t>
  </si>
  <si>
    <t>Count of Full Name</t>
  </si>
  <si>
    <t>Row Labels</t>
  </si>
  <si>
    <t>Grand Total</t>
  </si>
  <si>
    <t>Number Of employees to emp status</t>
  </si>
  <si>
    <t>Sum of Salary</t>
  </si>
  <si>
    <t>Salaries of Departments</t>
  </si>
  <si>
    <t>Column Labels</t>
  </si>
  <si>
    <t>Age Range to Gender</t>
  </si>
  <si>
    <t>% of emp</t>
  </si>
  <si>
    <t>Percentage of Specific Gender</t>
  </si>
  <si>
    <t>Sum of Leave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</si>
</sst>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NumberFormat="1" applyFont="1" applyFill="1" applyBorder="1"/>
    <xf numFmtId="0" fontId="0" fillId="0" borderId="0" xfId="1" applyNumberFormat="1" applyFont="1"/>
    <xf numFmtId="0" fontId="2" fillId="3" borderId="0" xfId="0" applyFont="1" applyFill="1" applyAlignment="1">
      <alignment horizontal="center"/>
    </xf>
    <xf numFmtId="0" fontId="0" fillId="4" borderId="0" xfId="0" applyFill="1"/>
    <xf numFmtId="0" fontId="0" fillId="5" borderId="0" xfId="1" applyNumberFormat="1" applyFont="1" applyFill="1"/>
  </cellXfs>
  <cellStyles count="2">
    <cellStyle name="Normal" xfId="0" builtinId="0"/>
    <cellStyle name="Percent" xfId="1" builtinId="5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[HR Managament.xlsx]Pivot!PivotTable2</c:name>
    <c:fmtId val="11"/>
  </c:pivotSource>
  <c:chart>
    <c:autoTitleDeleted val="1"/>
    <c:pivotFmts>
      <c:pivotFmt>
        <c:idx val="0"/>
        <c:spPr>
          <a:solidFill>
            <a:schemeClr val="accent4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Pivot!$G$3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Pivot!$F$4:$F$9</c:f>
              <c:strCache>
                <c:ptCount val="5"/>
                <c:pt idx="0">
                  <c:v>Analyst</c:v>
                </c:pt>
                <c:pt idx="1">
                  <c:v>Designer</c:v>
                </c:pt>
                <c:pt idx="2">
                  <c:v>Developer</c:v>
                </c:pt>
                <c:pt idx="3">
                  <c:v>HR Specialist</c:v>
                </c:pt>
                <c:pt idx="4">
                  <c:v>Manager</c:v>
                </c:pt>
              </c:strCache>
            </c:strRef>
          </c:cat>
          <c:val>
            <c:numRef>
              <c:f>Pivot!$G$4:$G$9</c:f>
              <c:numCache>
                <c:formatCode>General</c:formatCode>
                <c:ptCount val="5"/>
                <c:pt idx="0">
                  <c:v>167041</c:v>
                </c:pt>
                <c:pt idx="1">
                  <c:v>613842</c:v>
                </c:pt>
                <c:pt idx="2">
                  <c:v>633594</c:v>
                </c:pt>
                <c:pt idx="3">
                  <c:v>959266</c:v>
                </c:pt>
                <c:pt idx="4">
                  <c:v>731170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9C-4D7A-B410-2410B5021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660736"/>
        <c:axId val="1350687360"/>
      </c:lineChart>
      <c:catAx>
        <c:axId val="135066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687360"/>
        <c:crosses val="autoZero"/>
        <c:auto val="1"/>
        <c:lblAlgn val="ctr"/>
        <c:lblOffset val="100"/>
        <c:noMultiLvlLbl val="0"/>
      </c:catAx>
      <c:valAx>
        <c:axId val="13506873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50660736"/>
        <c:crosses val="autoZero"/>
        <c:crossBetween val="between"/>
      </c:valAx>
      <c:spPr>
        <a:solidFill>
          <a:schemeClr val="tx1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[HR Managament.xlsx]Pivot!PivotTable1</c:name>
    <c:fmtId val="3"/>
  </c:pivotSource>
  <c:chart>
    <c:autoTitleDeleted val="1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4"/>
          </a:solidFill>
          <a:ln w="1905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tint val="65000"/>
            </a:schemeClr>
          </a:solidFill>
          <a:ln w="19050">
            <a:solidFill>
              <a:schemeClr val="tx1"/>
            </a:solidFill>
          </a:ln>
          <a:effectLst/>
        </c:spPr>
      </c:pivotFmt>
      <c:pivotFmt>
        <c:idx val="7"/>
        <c:spPr>
          <a:solidFill>
            <a:schemeClr val="accent4"/>
          </a:solidFill>
          <a:ln w="19050">
            <a:solidFill>
              <a:schemeClr val="tx1"/>
            </a:solidFill>
          </a:ln>
          <a:effectLst/>
        </c:spPr>
      </c:pivotFmt>
      <c:pivotFmt>
        <c:idx val="8"/>
        <c:spPr>
          <a:solidFill>
            <a:schemeClr val="accent4">
              <a:shade val="65000"/>
            </a:schemeClr>
          </a:solidFill>
          <a:ln w="19050">
            <a:solidFill>
              <a:schemeClr val="tx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Pivot!$D$3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chemeClr val="accent4">
                  <a:tint val="65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E8D-4B1C-984D-618D8FB66EE9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8D-4B1C-984D-618D8FB66EE9}"/>
              </c:ext>
            </c:extLst>
          </c:dPt>
          <c:dPt>
            <c:idx val="2"/>
            <c:bubble3D val="0"/>
            <c:spPr>
              <a:solidFill>
                <a:schemeClr val="accent4">
                  <a:shade val="65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E8D-4B1C-984D-618D8FB66EE9}"/>
              </c:ext>
            </c:extLst>
          </c:dPt>
          <c:cat>
            <c:strRef>
              <c:f>Pivot!$C$4:$C$7</c:f>
              <c:strCache>
                <c:ptCount val="3"/>
                <c:pt idx="0">
                  <c:v>Contract</c:v>
                </c:pt>
                <c:pt idx="1">
                  <c:v>Full-Time</c:v>
                </c:pt>
                <c:pt idx="2">
                  <c:v>Part-Time</c:v>
                </c:pt>
              </c:strCache>
            </c:strRef>
          </c:cat>
          <c:val>
            <c:numRef>
              <c:f>Pivot!$D$4:$D$7</c:f>
              <c:numCache>
                <c:formatCode>General</c:formatCode>
                <c:ptCount val="3"/>
                <c:pt idx="0">
                  <c:v>17</c:v>
                </c:pt>
                <c:pt idx="1">
                  <c:v>20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E8D-4B1C-984D-618D8FB66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[HR Managament.xlsx]Pivot!PivotTable4</c:name>
    <c:fmtId val="3"/>
  </c:pivotSource>
  <c:chart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Pivot!$J$3:$J$4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Pivot!$I$5:$I$10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 &lt;</c:v>
                </c:pt>
              </c:strCache>
            </c:strRef>
          </c:cat>
          <c:val>
            <c:numRef>
              <c:f>Pivot!$J$5:$J$10</c:f>
              <c:numCache>
                <c:formatCode>General</c:formatCode>
                <c:ptCount val="5"/>
                <c:pt idx="0">
                  <c:v>6</c:v>
                </c:pt>
                <c:pt idx="1">
                  <c:v>7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3A-40FA-B702-846E7C617428}"/>
            </c:ext>
          </c:extLst>
        </c:ser>
        <c:ser>
          <c:idx val="1"/>
          <c:order val="1"/>
          <c:tx>
            <c:strRef>
              <c:f>Pivot!$K$3:$K$4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Pivot!$I$5:$I$10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 &lt;</c:v>
                </c:pt>
              </c:strCache>
            </c:strRef>
          </c:cat>
          <c:val>
            <c:numRef>
              <c:f>Pivot!$K$5:$K$10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7</c:v>
                </c:pt>
                <c:pt idx="3">
                  <c:v>3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3A-40FA-B702-846E7C617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8448"/>
        <c:axId val="1098864"/>
      </c:barChart>
      <c:catAx>
        <c:axId val="1098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864"/>
        <c:crosses val="autoZero"/>
        <c:auto val="1"/>
        <c:lblAlgn val="ctr"/>
        <c:lblOffset val="100"/>
        <c:noMultiLvlLbl val="0"/>
      </c:catAx>
      <c:valAx>
        <c:axId val="10988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448"/>
        <c:crosses val="autoZero"/>
        <c:crossBetween val="between"/>
      </c:valAx>
      <c:spPr>
        <a:solidFill>
          <a:schemeClr val="tx1">
            <a:lumMod val="95000"/>
            <a:lumOff val="5000"/>
          </a:schemeClr>
        </a:solidFill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[HR Managament.xlsx]Pivot!PivotTable6</c:name>
    <c:fmtId val="5"/>
  </c:pivotSource>
  <c:chart>
    <c:autoTitleDeleted val="1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9753086419753088"/>
              <c:y val="1.7094017094017096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820396516738692"/>
          <c:y val="0.12626771653543306"/>
          <c:w val="0.48359177434344802"/>
          <c:h val="0.74746456692913388"/>
        </c:manualLayout>
      </c:layout>
      <c:doughnutChart>
        <c:varyColors val="1"/>
        <c:ser>
          <c:idx val="0"/>
          <c:order val="0"/>
          <c:tx>
            <c:strRef>
              <c:f>Pivot!$X$3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DC8-44DF-B00F-54A875D3D31D}"/>
              </c:ext>
            </c:extLst>
          </c:dPt>
          <c:dPt>
            <c:idx val="1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DC8-44DF-B00F-54A875D3D31D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C8-44DF-B00F-54A875D3D31D}"/>
                </c:ext>
              </c:extLst>
            </c:dLbl>
            <c:dLbl>
              <c:idx val="1"/>
              <c:layout>
                <c:manualLayout>
                  <c:x val="-0.19753086419753088"/>
                  <c:y val="1.709401709401709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DC8-44DF-B00F-54A875D3D31D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Pivot!$W$4:$W$6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Pivot!$X$4:$X$6</c:f>
              <c:numCache>
                <c:formatCode>General</c:formatCode>
                <c:ptCount val="2"/>
                <c:pt idx="0">
                  <c:v>26</c:v>
                </c:pt>
                <c:pt idx="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C8-44DF-B00F-54A875D3D31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solidFill>
          <a:schemeClr val="tx1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80559930008749"/>
          <c:y val="0.17254901960784313"/>
          <c:w val="0.46388888888888891"/>
          <c:h val="0.6549019607843137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C4C-4A84-9849-D41249D8FFD4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C4C-4A84-9849-D41249D8FFD4}"/>
              </c:ext>
            </c:extLst>
          </c:dPt>
          <c:dLbls>
            <c:dLbl>
              <c:idx val="0"/>
              <c:layout>
                <c:manualLayout>
                  <c:x val="-0.49735449735449733"/>
                  <c:y val="-4.651168468740123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4C-4A84-9849-D41249D8FFD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C4C-4A84-9849-D41249D8FFD4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Pivot!$Y$4:$Z$4</c:f>
              <c:numCache>
                <c:formatCode>General</c:formatCode>
                <c:ptCount val="2"/>
                <c:pt idx="0">
                  <c:v>52</c:v>
                </c:pt>
                <c:pt idx="1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4C-4A84-9849-D41249D8FFD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[HR Managament.xlsx]Pivot!PivotTable10</c:name>
    <c:fmtId val="16"/>
  </c:pivotSource>
  <c:chart>
    <c:autoTitleDeleted val="1"/>
    <c:pivotFmts>
      <c:pivotFmt>
        <c:idx val="0"/>
        <c:spPr>
          <a:solidFill>
            <a:schemeClr val="accent4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Pivot!$AC$3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Pivot!$AB$4:$AB$9</c:f>
              <c:strCache>
                <c:ptCount val="5"/>
                <c:pt idx="0">
                  <c:v>Analyst</c:v>
                </c:pt>
                <c:pt idx="1">
                  <c:v>Designer</c:v>
                </c:pt>
                <c:pt idx="2">
                  <c:v>Developer</c:v>
                </c:pt>
                <c:pt idx="3">
                  <c:v>HR Specialist</c:v>
                </c:pt>
                <c:pt idx="4">
                  <c:v>Manager</c:v>
                </c:pt>
              </c:strCache>
            </c:strRef>
          </c:cat>
          <c:val>
            <c:numRef>
              <c:f>Pivot!$AC$4:$AC$9</c:f>
              <c:numCache>
                <c:formatCode>General</c:formatCode>
                <c:ptCount val="5"/>
                <c:pt idx="0">
                  <c:v>28</c:v>
                </c:pt>
                <c:pt idx="1">
                  <c:v>110</c:v>
                </c:pt>
                <c:pt idx="2">
                  <c:v>104</c:v>
                </c:pt>
                <c:pt idx="3">
                  <c:v>123</c:v>
                </c:pt>
                <c:pt idx="4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AF-4D25-A687-4A2AF3D5E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2717904"/>
        <c:axId val="1352711248"/>
      </c:barChart>
      <c:catAx>
        <c:axId val="13527179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52711248"/>
        <c:crosses val="autoZero"/>
        <c:auto val="1"/>
        <c:lblAlgn val="ctr"/>
        <c:lblOffset val="100"/>
        <c:noMultiLvlLbl val="0"/>
      </c:catAx>
      <c:valAx>
        <c:axId val="135271124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527179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solidFill>
          <a:schemeClr val="tx1"/>
        </a:solidFill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[HR Managament.xlsx]Pivot!PivotTable11</c:name>
    <c:fmtId val="22"/>
  </c:pivotSource>
  <c:chart>
    <c:autoTitleDeleted val="1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Pivot!$AF$3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3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4">
                  <a:tint val="54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Pivot!$AE$4:$AE$9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Pivot!$AF$4:$AF$9</c:f>
              <c:numCache>
                <c:formatCode>General</c:formatCode>
                <c:ptCount val="5"/>
                <c:pt idx="0">
                  <c:v>14</c:v>
                </c:pt>
                <c:pt idx="1">
                  <c:v>10</c:v>
                </c:pt>
                <c:pt idx="2">
                  <c:v>7</c:v>
                </c:pt>
                <c:pt idx="3">
                  <c:v>10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64-47C9-B95C-647DF653948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size">
        <cx:f dir="row">_xlchart.v1.0</cx:f>
      </cx:numDim>
    </cx:data>
  </cx:chartData>
  <cx:chart>
    <cx:title pos="t" align="ctr" overlay="0">
      <cx:tx>
        <cx:txData>
          <cx:v>Branch Office 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1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</a:rPr>
            <a:t>Branch Office </a:t>
          </a:r>
        </a:p>
      </cx:txPr>
    </cx:title>
    <cx:plotArea>
      <cx:plotAreaRegion>
        <cx:series layoutId="treemap" uniqueId="{2A04BD50-7248-49A3-98D0-D4B3520EBDA6}">
          <cx:dataId val="0"/>
          <cx:layoutPr/>
        </cx:series>
      </cx:plotAreaRegion>
    </cx:plotArea>
  </cx:chart>
  <cx:spPr>
    <a:solidFill>
      <a:schemeClr val="tx1"/>
    </a:solidFill>
    <a:ln>
      <a:solidFill>
        <a:schemeClr val="tx1"/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size">
        <cx:f dir="row">_xlchart.v1.2</cx:f>
      </cx:numDim>
    </cx:data>
  </cx:chartData>
  <cx:chart>
    <cx:title pos="t" align="ctr" overlay="0">
      <cx:tx>
        <cx:txData>
          <cx:v>Head Office</cx:v>
        </cx:txData>
      </cx:tx>
      <cx:spPr>
        <a:solidFill>
          <a:schemeClr val="tx1"/>
        </a:solidFill>
      </cx:spPr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lang="en-IN" sz="1400" b="0" i="0" u="none" strike="noStrike" kern="1200" spc="0" baseline="0">
              <a:solidFill>
                <a:sysClr val="window" lastClr="FFFFFF"/>
              </a:solidFill>
              <a:latin typeface="+mn-lt"/>
              <a:ea typeface="+mn-ea"/>
              <a:cs typeface="+mn-cs"/>
            </a:defRPr>
          </a:pPr>
          <a:r>
            <a:rPr kumimoji="0" lang="en-IN" sz="1400" b="1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Head Office</a:t>
          </a:r>
        </a:p>
      </cx:txPr>
    </cx:title>
    <cx:plotArea>
      <cx:plotAreaRegion>
        <cx:series layoutId="treemap" uniqueId="{1153605E-27B2-473E-AD84-516C1065D7ED}">
          <cx:dataId val="0"/>
          <cx:layoutPr/>
        </cx:series>
      </cx:plotAreaRegion>
    </cx:plotArea>
  </cx:chart>
  <cx:spPr>
    <a:solidFill>
      <a:schemeClr val="tx1"/>
    </a:solidFill>
    <a:ln>
      <a:solidFill>
        <a:sysClr val="windowText" lastClr="000000"/>
      </a:solidFill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size">
        <cx:f dir="row">_xlchart.v1.1</cx:f>
      </cx:numDim>
    </cx:data>
  </cx:chartData>
  <cx:chart>
    <cx:title pos="t" align="ctr" overlay="0">
      <cx:tx>
        <cx:txData>
          <cx:v>Remote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lang="en-US" sz="1400" b="1" i="0" u="none" strike="noStrike" kern="1200" spc="0" baseline="0">
              <a:solidFill>
                <a:sysClr val="window" lastClr="FFFFFF"/>
              </a:solidFill>
              <a:latin typeface="+mn-lt"/>
              <a:ea typeface="+mn-ea"/>
              <a:cs typeface="+mn-cs"/>
            </a:defRPr>
          </a:pPr>
          <a:r>
            <a:rPr kumimoji="0" lang="en-IN" sz="1400" b="1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</a:rPr>
            <a:t>Remote</a:t>
          </a:r>
        </a:p>
      </cx:txPr>
    </cx:title>
    <cx:plotArea>
      <cx:plotAreaRegion>
        <cx:series layoutId="treemap" uniqueId="{CF11FF7A-4420-4F89-839E-FFC084FE3188}">
          <cx:dataId val="0"/>
          <cx:layoutPr/>
        </cx:series>
      </cx:plotAreaRegion>
    </cx:plotArea>
  </cx:chart>
  <cx:spPr>
    <a:solidFill>
      <a:schemeClr val="tx1"/>
    </a:solidFill>
    <a:ln>
      <a:solidFill>
        <a:sysClr val="windowText" lastClr="000000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microsoft.com/office/2014/relationships/chartEx" Target="../charts/chartEx1.xml"/><Relationship Id="rId7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image" Target="../media/image1.png"/><Relationship Id="rId11" Type="http://schemas.openxmlformats.org/officeDocument/2006/relationships/chart" Target="../charts/chart7.xml"/><Relationship Id="rId5" Type="http://schemas.microsoft.com/office/2014/relationships/chartEx" Target="../charts/chartEx3.xml"/><Relationship Id="rId10" Type="http://schemas.openxmlformats.org/officeDocument/2006/relationships/image" Target="../media/image2.png"/><Relationship Id="rId4" Type="http://schemas.microsoft.com/office/2014/relationships/chartEx" Target="../charts/chartEx2.xml"/><Relationship Id="rId9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5</xdr:row>
      <xdr:rowOff>133350</xdr:rowOff>
    </xdr:from>
    <xdr:to>
      <xdr:col>3</xdr:col>
      <xdr:colOff>1409700</xdr:colOff>
      <xdr:row>13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29C40AF-D918-43EE-82C1-2D4086D732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85725</xdr:rowOff>
    </xdr:from>
    <xdr:to>
      <xdr:col>13</xdr:col>
      <xdr:colOff>590550</xdr:colOff>
      <xdr:row>22</xdr:row>
      <xdr:rowOff>47625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71D7CE9-0948-4791-AC57-2ED24840D267}"/>
            </a:ext>
          </a:extLst>
        </xdr:cNvPr>
        <xdr:cNvSpPr/>
      </xdr:nvSpPr>
      <xdr:spPr>
        <a:xfrm>
          <a:off x="38100" y="85725"/>
          <a:ext cx="8477250" cy="41529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104774</xdr:colOff>
      <xdr:row>14</xdr:row>
      <xdr:rowOff>142875</xdr:rowOff>
    </xdr:from>
    <xdr:to>
      <xdr:col>2</xdr:col>
      <xdr:colOff>571499</xdr:colOff>
      <xdr:row>21</xdr:row>
      <xdr:rowOff>142875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CFF36C0-5CD8-489D-9093-016241102A5B}"/>
            </a:ext>
          </a:extLst>
        </xdr:cNvPr>
        <xdr:cNvSpPr/>
      </xdr:nvSpPr>
      <xdr:spPr>
        <a:xfrm>
          <a:off x="104774" y="2809875"/>
          <a:ext cx="1685925" cy="1333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600075</xdr:colOff>
      <xdr:row>12</xdr:row>
      <xdr:rowOff>123824</xdr:rowOff>
    </xdr:from>
    <xdr:to>
      <xdr:col>6</xdr:col>
      <xdr:colOff>238125</xdr:colOff>
      <xdr:row>21</xdr:row>
      <xdr:rowOff>133349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E1EC764-9C9A-40EE-B986-30747EDC8BFA}"/>
            </a:ext>
          </a:extLst>
        </xdr:cNvPr>
        <xdr:cNvSpPr/>
      </xdr:nvSpPr>
      <xdr:spPr>
        <a:xfrm>
          <a:off x="1819275" y="2409824"/>
          <a:ext cx="2076450" cy="17240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276225</xdr:colOff>
      <xdr:row>12</xdr:row>
      <xdr:rowOff>133350</xdr:rowOff>
    </xdr:from>
    <xdr:to>
      <xdr:col>9</xdr:col>
      <xdr:colOff>542925</xdr:colOff>
      <xdr:row>21</xdr:row>
      <xdr:rowOff>171450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E6745526-2890-4AAB-B629-F07265FC49B4}"/>
            </a:ext>
          </a:extLst>
        </xdr:cNvPr>
        <xdr:cNvSpPr/>
      </xdr:nvSpPr>
      <xdr:spPr>
        <a:xfrm>
          <a:off x="3933825" y="2419350"/>
          <a:ext cx="2095500" cy="1752600"/>
        </a:xfrm>
        <a:prstGeom prst="rect">
          <a:avLst/>
        </a:prstGeom>
        <a:solidFill>
          <a:schemeClr val="dk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533401</xdr:colOff>
      <xdr:row>17</xdr:row>
      <xdr:rowOff>47625</xdr:rowOff>
    </xdr:from>
    <xdr:to>
      <xdr:col>11</xdr:col>
      <xdr:colOff>476251</xdr:colOff>
      <xdr:row>21</xdr:row>
      <xdr:rowOff>152400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F69262B5-5BA2-42FE-BD69-EF1B1B0E76B1}"/>
            </a:ext>
          </a:extLst>
        </xdr:cNvPr>
        <xdr:cNvSpPr/>
      </xdr:nvSpPr>
      <xdr:spPr>
        <a:xfrm>
          <a:off x="6019801" y="3286125"/>
          <a:ext cx="1162050" cy="866775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bg2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476250</xdr:colOff>
      <xdr:row>17</xdr:row>
      <xdr:rowOff>47625</xdr:rowOff>
    </xdr:from>
    <xdr:to>
      <xdr:col>13</xdr:col>
      <xdr:colOff>504825</xdr:colOff>
      <xdr:row>21</xdr:row>
      <xdr:rowOff>152400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36FB9E3D-4322-4CA8-B4AC-8BEE79717483}"/>
            </a:ext>
          </a:extLst>
        </xdr:cNvPr>
        <xdr:cNvSpPr/>
      </xdr:nvSpPr>
      <xdr:spPr>
        <a:xfrm>
          <a:off x="7181850" y="3286125"/>
          <a:ext cx="1247775" cy="866775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bg2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466726</xdr:colOff>
      <xdr:row>11</xdr:row>
      <xdr:rowOff>76201</xdr:rowOff>
    </xdr:from>
    <xdr:to>
      <xdr:col>13</xdr:col>
      <xdr:colOff>508398</xdr:colOff>
      <xdr:row>17</xdr:row>
      <xdr:rowOff>38101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469AFCE5-BEAE-4187-9BEC-967D0B916AE2}"/>
            </a:ext>
          </a:extLst>
        </xdr:cNvPr>
        <xdr:cNvSpPr/>
      </xdr:nvSpPr>
      <xdr:spPr>
        <a:xfrm>
          <a:off x="7172326" y="2171701"/>
          <a:ext cx="1260872" cy="1104900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9</xdr:col>
      <xdr:colOff>533401</xdr:colOff>
      <xdr:row>9</xdr:row>
      <xdr:rowOff>28575</xdr:rowOff>
    </xdr:from>
    <xdr:to>
      <xdr:col>13</xdr:col>
      <xdr:colOff>514351</xdr:colOff>
      <xdr:row>11</xdr:row>
      <xdr:rowOff>104775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50B02284-9F40-442A-AB06-3585C91EF7B3}"/>
            </a:ext>
          </a:extLst>
        </xdr:cNvPr>
        <xdr:cNvSpPr/>
      </xdr:nvSpPr>
      <xdr:spPr>
        <a:xfrm>
          <a:off x="6019801" y="1743075"/>
          <a:ext cx="2419350" cy="457200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chemeClr val="accent4">
                  <a:lumMod val="40000"/>
                  <a:lumOff val="60000"/>
                </a:schemeClr>
              </a:solidFill>
            </a:rPr>
            <a:t>Employments Status BreackDown</a:t>
          </a:r>
        </a:p>
      </xdr:txBody>
    </xdr:sp>
    <xdr:clientData/>
  </xdr:twoCellAnchor>
  <xdr:twoCellAnchor>
    <xdr:from>
      <xdr:col>11</xdr:col>
      <xdr:colOff>457200</xdr:colOff>
      <xdr:row>11</xdr:row>
      <xdr:rowOff>133350</xdr:rowOff>
    </xdr:from>
    <xdr:to>
      <xdr:col>14</xdr:col>
      <xdr:colOff>66675</xdr:colOff>
      <xdr:row>13</xdr:row>
      <xdr:rowOff>28575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72F79F96-7D5D-41B9-9B71-EFEEEAB72E7E}"/>
            </a:ext>
          </a:extLst>
        </xdr:cNvPr>
        <xdr:cNvSpPr/>
      </xdr:nvSpPr>
      <xdr:spPr>
        <a:xfrm>
          <a:off x="7162800" y="2228850"/>
          <a:ext cx="1438275" cy="2762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chemeClr val="bg1"/>
              </a:solidFill>
            </a:rPr>
            <a:t>Part time employee</a:t>
          </a:r>
        </a:p>
      </xdr:txBody>
    </xdr:sp>
    <xdr:clientData/>
  </xdr:twoCellAnchor>
  <xdr:twoCellAnchor>
    <xdr:from>
      <xdr:col>11</xdr:col>
      <xdr:colOff>447675</xdr:colOff>
      <xdr:row>17</xdr:row>
      <xdr:rowOff>28575</xdr:rowOff>
    </xdr:from>
    <xdr:to>
      <xdr:col>14</xdr:col>
      <xdr:colOff>57150</xdr:colOff>
      <xdr:row>18</xdr:row>
      <xdr:rowOff>114300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EFEFDDDF-A0E4-48A6-9DC4-49031E90070D}"/>
            </a:ext>
          </a:extLst>
        </xdr:cNvPr>
        <xdr:cNvSpPr/>
      </xdr:nvSpPr>
      <xdr:spPr>
        <a:xfrm>
          <a:off x="7153275" y="3267075"/>
          <a:ext cx="1438275" cy="2762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chemeClr val="bg1"/>
              </a:solidFill>
            </a:rPr>
            <a:t>Full time employee</a:t>
          </a:r>
        </a:p>
      </xdr:txBody>
    </xdr:sp>
    <xdr:clientData/>
  </xdr:twoCellAnchor>
  <xdr:twoCellAnchor>
    <xdr:from>
      <xdr:col>9</xdr:col>
      <xdr:colOff>561975</xdr:colOff>
      <xdr:row>17</xdr:row>
      <xdr:rowOff>28575</xdr:rowOff>
    </xdr:from>
    <xdr:to>
      <xdr:col>11</xdr:col>
      <xdr:colOff>457200</xdr:colOff>
      <xdr:row>19</xdr:row>
      <xdr:rowOff>85725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D84DA6A-4306-438F-B0C5-3BCEEE50379C}"/>
            </a:ext>
          </a:extLst>
        </xdr:cNvPr>
        <xdr:cNvSpPr/>
      </xdr:nvSpPr>
      <xdr:spPr>
        <a:xfrm>
          <a:off x="6048375" y="3267075"/>
          <a:ext cx="1114425" cy="4381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chemeClr val="bg1"/>
              </a:solidFill>
            </a:rPr>
            <a:t>Employees with Contract</a:t>
          </a:r>
        </a:p>
      </xdr:txBody>
    </xdr:sp>
    <xdr:clientData/>
  </xdr:twoCellAnchor>
  <xdr:twoCellAnchor>
    <xdr:from>
      <xdr:col>10</xdr:col>
      <xdr:colOff>295276</xdr:colOff>
      <xdr:row>18</xdr:row>
      <xdr:rowOff>161925</xdr:rowOff>
    </xdr:from>
    <xdr:to>
      <xdr:col>11</xdr:col>
      <xdr:colOff>257176</xdr:colOff>
      <xdr:row>20</xdr:row>
      <xdr:rowOff>152400</xdr:rowOff>
    </xdr:to>
    <xdr:sp macro="" textlink="Pivot!D4">
      <xdr:nvSpPr>
        <xdr:cNvPr id="22" name="Rectangle 21">
          <a:extLst>
            <a:ext uri="{FF2B5EF4-FFF2-40B4-BE49-F238E27FC236}">
              <a16:creationId xmlns:a16="http://schemas.microsoft.com/office/drawing/2014/main" id="{315F37C2-BA2A-4605-B743-EB072B6C2473}"/>
            </a:ext>
          </a:extLst>
        </xdr:cNvPr>
        <xdr:cNvSpPr/>
      </xdr:nvSpPr>
      <xdr:spPr>
        <a:xfrm>
          <a:off x="6391276" y="3590925"/>
          <a:ext cx="571500" cy="37147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4DCA7E1C-E916-4F62-9FF0-7699EAC46B21}" type="TxLink">
            <a:rPr lang="en-US" sz="2000" b="1" i="0" u="none" strike="noStrike">
              <a:solidFill>
                <a:schemeClr val="bg1"/>
              </a:solidFill>
              <a:latin typeface="Calibri"/>
              <a:cs typeface="Calibri"/>
            </a:rPr>
            <a:pPr algn="l"/>
            <a:t>17</a:t>
          </a:fld>
          <a:endParaRPr lang="en-IN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238126</xdr:colOff>
      <xdr:row>13</xdr:row>
      <xdr:rowOff>85725</xdr:rowOff>
    </xdr:from>
    <xdr:to>
      <xdr:col>13</xdr:col>
      <xdr:colOff>200026</xdr:colOff>
      <xdr:row>15</xdr:row>
      <xdr:rowOff>76200</xdr:rowOff>
    </xdr:to>
    <xdr:sp macro="" textlink="Pivot!D6">
      <xdr:nvSpPr>
        <xdr:cNvPr id="23" name="Rectangle 22">
          <a:extLst>
            <a:ext uri="{FF2B5EF4-FFF2-40B4-BE49-F238E27FC236}">
              <a16:creationId xmlns:a16="http://schemas.microsoft.com/office/drawing/2014/main" id="{2CF705D7-CF22-4FEB-9442-D61FBC64FE3C}"/>
            </a:ext>
          </a:extLst>
        </xdr:cNvPr>
        <xdr:cNvSpPr/>
      </xdr:nvSpPr>
      <xdr:spPr>
        <a:xfrm>
          <a:off x="7553326" y="2562225"/>
          <a:ext cx="571500" cy="37147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fld id="{F516A64D-98BE-41E5-8776-570A3B2CA2D5}" type="TxLink">
            <a:rPr lang="en-US" sz="20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l"/>
            <a:t>13</a:t>
          </a:fld>
          <a:endParaRPr lang="en-IN" sz="20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12</xdr:col>
      <xdr:colOff>247651</xdr:colOff>
      <xdr:row>18</xdr:row>
      <xdr:rowOff>142875</xdr:rowOff>
    </xdr:from>
    <xdr:to>
      <xdr:col>13</xdr:col>
      <xdr:colOff>209551</xdr:colOff>
      <xdr:row>20</xdr:row>
      <xdr:rowOff>133350</xdr:rowOff>
    </xdr:to>
    <xdr:sp macro="" textlink="Pivot!D5">
      <xdr:nvSpPr>
        <xdr:cNvPr id="24" name="Rectangle 23">
          <a:extLst>
            <a:ext uri="{FF2B5EF4-FFF2-40B4-BE49-F238E27FC236}">
              <a16:creationId xmlns:a16="http://schemas.microsoft.com/office/drawing/2014/main" id="{92AAF5B9-876F-438A-9C97-7789C3B8F347}"/>
            </a:ext>
          </a:extLst>
        </xdr:cNvPr>
        <xdr:cNvSpPr/>
      </xdr:nvSpPr>
      <xdr:spPr>
        <a:xfrm>
          <a:off x="7562851" y="3571875"/>
          <a:ext cx="571500" cy="37147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fld id="{7B91FF27-A5FE-4CD2-AB86-66ABCF2BAC4C}" type="TxLink">
            <a:rPr lang="en-US" sz="20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l"/>
            <a:t>20</a:t>
          </a:fld>
          <a:endParaRPr lang="en-IN" sz="20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6</xdr:col>
      <xdr:colOff>390525</xdr:colOff>
      <xdr:row>13</xdr:row>
      <xdr:rowOff>47626</xdr:rowOff>
    </xdr:from>
    <xdr:to>
      <xdr:col>8</xdr:col>
      <xdr:colOff>180975</xdr:colOff>
      <xdr:row>14</xdr:row>
      <xdr:rowOff>47625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1D3F5C2F-8203-4A8F-8026-E3582C2419D0}"/>
            </a:ext>
          </a:extLst>
        </xdr:cNvPr>
        <xdr:cNvSpPr/>
      </xdr:nvSpPr>
      <xdr:spPr>
        <a:xfrm>
          <a:off x="4048125" y="2524126"/>
          <a:ext cx="1009650" cy="19049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IN" sz="1100" b="1">
              <a:solidFill>
                <a:schemeClr val="bg1"/>
              </a:solidFill>
            </a:rPr>
            <a:t>Total Salaries</a:t>
          </a:r>
        </a:p>
      </xdr:txBody>
    </xdr:sp>
    <xdr:clientData/>
  </xdr:twoCellAnchor>
  <xdr:twoCellAnchor>
    <xdr:from>
      <xdr:col>6</xdr:col>
      <xdr:colOff>390525</xdr:colOff>
      <xdr:row>14</xdr:row>
      <xdr:rowOff>152401</xdr:rowOff>
    </xdr:from>
    <xdr:to>
      <xdr:col>8</xdr:col>
      <xdr:colOff>180975</xdr:colOff>
      <xdr:row>15</xdr:row>
      <xdr:rowOff>142875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206CF44A-3E27-489D-99C8-1ABB8C2D62AE}"/>
            </a:ext>
          </a:extLst>
        </xdr:cNvPr>
        <xdr:cNvSpPr/>
      </xdr:nvSpPr>
      <xdr:spPr>
        <a:xfrm>
          <a:off x="4048125" y="2819401"/>
          <a:ext cx="1009650" cy="18097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IN" sz="1100">
              <a:solidFill>
                <a:schemeClr val="lt1"/>
              </a:solidFill>
              <a:latin typeface="+mn-lt"/>
              <a:ea typeface="+mn-ea"/>
              <a:cs typeface="+mn-cs"/>
            </a:rPr>
            <a:t>Managers</a:t>
          </a:r>
        </a:p>
      </xdr:txBody>
    </xdr:sp>
    <xdr:clientData/>
  </xdr:twoCellAnchor>
  <xdr:twoCellAnchor>
    <xdr:from>
      <xdr:col>6</xdr:col>
      <xdr:colOff>390525</xdr:colOff>
      <xdr:row>15</xdr:row>
      <xdr:rowOff>171451</xdr:rowOff>
    </xdr:from>
    <xdr:to>
      <xdr:col>8</xdr:col>
      <xdr:colOff>171450</xdr:colOff>
      <xdr:row>16</xdr:row>
      <xdr:rowOff>171450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F0F03A13-2498-481F-99C7-12EFF26FE8E1}"/>
            </a:ext>
          </a:extLst>
        </xdr:cNvPr>
        <xdr:cNvSpPr/>
      </xdr:nvSpPr>
      <xdr:spPr>
        <a:xfrm>
          <a:off x="4048125" y="3028951"/>
          <a:ext cx="1000125" cy="19049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IN" sz="1100">
              <a:solidFill>
                <a:schemeClr val="lt1"/>
              </a:solidFill>
              <a:latin typeface="+mn-lt"/>
              <a:ea typeface="+mn-ea"/>
              <a:cs typeface="+mn-cs"/>
            </a:rPr>
            <a:t>HR Specialists</a:t>
          </a:r>
        </a:p>
      </xdr:txBody>
    </xdr:sp>
    <xdr:clientData/>
  </xdr:twoCellAnchor>
  <xdr:twoCellAnchor>
    <xdr:from>
      <xdr:col>6</xdr:col>
      <xdr:colOff>400050</xdr:colOff>
      <xdr:row>17</xdr:row>
      <xdr:rowOff>9525</xdr:rowOff>
    </xdr:from>
    <xdr:to>
      <xdr:col>8</xdr:col>
      <xdr:colOff>171450</xdr:colOff>
      <xdr:row>17</xdr:row>
      <xdr:rowOff>161925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7B202E1E-6129-446F-A425-9B12B5A9CC29}"/>
            </a:ext>
          </a:extLst>
        </xdr:cNvPr>
        <xdr:cNvSpPr/>
      </xdr:nvSpPr>
      <xdr:spPr>
        <a:xfrm>
          <a:off x="4057650" y="3248025"/>
          <a:ext cx="990600" cy="1524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IN" sz="1100">
              <a:solidFill>
                <a:schemeClr val="lt1"/>
              </a:solidFill>
              <a:latin typeface="+mn-lt"/>
              <a:ea typeface="+mn-ea"/>
              <a:cs typeface="+mn-cs"/>
            </a:rPr>
            <a:t>Developers</a:t>
          </a:r>
        </a:p>
      </xdr:txBody>
    </xdr:sp>
    <xdr:clientData/>
  </xdr:twoCellAnchor>
  <xdr:twoCellAnchor>
    <xdr:from>
      <xdr:col>6</xdr:col>
      <xdr:colOff>390525</xdr:colOff>
      <xdr:row>18</xdr:row>
      <xdr:rowOff>0</xdr:rowOff>
    </xdr:from>
    <xdr:to>
      <xdr:col>8</xdr:col>
      <xdr:colOff>161925</xdr:colOff>
      <xdr:row>18</xdr:row>
      <xdr:rowOff>171450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F138C1FD-E5B2-435A-ADAD-88FC88F0F61B}"/>
            </a:ext>
          </a:extLst>
        </xdr:cNvPr>
        <xdr:cNvSpPr/>
      </xdr:nvSpPr>
      <xdr:spPr>
        <a:xfrm>
          <a:off x="4048125" y="3429000"/>
          <a:ext cx="990600" cy="1714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IN" sz="1100">
              <a:solidFill>
                <a:schemeClr val="lt1"/>
              </a:solidFill>
              <a:latin typeface="+mn-lt"/>
              <a:ea typeface="+mn-ea"/>
              <a:cs typeface="+mn-cs"/>
            </a:rPr>
            <a:t>Designers</a:t>
          </a:r>
        </a:p>
      </xdr:txBody>
    </xdr:sp>
    <xdr:clientData/>
  </xdr:twoCellAnchor>
  <xdr:twoCellAnchor>
    <xdr:from>
      <xdr:col>6</xdr:col>
      <xdr:colOff>400049</xdr:colOff>
      <xdr:row>19</xdr:row>
      <xdr:rowOff>9525</xdr:rowOff>
    </xdr:from>
    <xdr:to>
      <xdr:col>8</xdr:col>
      <xdr:colOff>161924</xdr:colOff>
      <xdr:row>20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ABC8441-E147-4FB6-A75A-ECA041BB5255}"/>
            </a:ext>
          </a:extLst>
        </xdr:cNvPr>
        <xdr:cNvSpPr/>
      </xdr:nvSpPr>
      <xdr:spPr>
        <a:xfrm>
          <a:off x="4057649" y="3629025"/>
          <a:ext cx="981075" cy="18097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IN" sz="1100">
              <a:solidFill>
                <a:schemeClr val="lt1"/>
              </a:solidFill>
              <a:latin typeface="+mn-lt"/>
              <a:ea typeface="+mn-ea"/>
              <a:cs typeface="+mn-cs"/>
            </a:rPr>
            <a:t>Analysts</a:t>
          </a:r>
        </a:p>
      </xdr:txBody>
    </xdr:sp>
    <xdr:clientData/>
  </xdr:twoCellAnchor>
  <xdr:twoCellAnchor>
    <xdr:from>
      <xdr:col>8</xdr:col>
      <xdr:colOff>228600</xdr:colOff>
      <xdr:row>13</xdr:row>
      <xdr:rowOff>66675</xdr:rowOff>
    </xdr:from>
    <xdr:to>
      <xdr:col>9</xdr:col>
      <xdr:colOff>323850</xdr:colOff>
      <xdr:row>14</xdr:row>
      <xdr:rowOff>47623</xdr:rowOff>
    </xdr:to>
    <xdr:sp macro="" textlink="Pivot!G9">
      <xdr:nvSpPr>
        <xdr:cNvPr id="38" name="Rectangle 37">
          <a:extLst>
            <a:ext uri="{FF2B5EF4-FFF2-40B4-BE49-F238E27FC236}">
              <a16:creationId xmlns:a16="http://schemas.microsoft.com/office/drawing/2014/main" id="{E510088A-7D61-482B-98EF-24D04848528D}"/>
            </a:ext>
          </a:extLst>
        </xdr:cNvPr>
        <xdr:cNvSpPr/>
      </xdr:nvSpPr>
      <xdr:spPr>
        <a:xfrm>
          <a:off x="5105400" y="2543175"/>
          <a:ext cx="704850" cy="17144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54D24722-0F16-425E-82CF-9C08C90184D2}" type="TxLink">
            <a:rPr lang="en-US" sz="1100" b="1" i="0" u="none" strike="noStrike">
              <a:solidFill>
                <a:schemeClr val="accent4">
                  <a:lumMod val="40000"/>
                  <a:lumOff val="60000"/>
                </a:schemeClr>
              </a:solidFill>
              <a:latin typeface="Calibri"/>
              <a:cs typeface="Calibri"/>
            </a:rPr>
            <a:pPr algn="ctr"/>
            <a:t>3104913</a:t>
          </a:fld>
          <a:endParaRPr lang="en-IN" sz="1100" b="1">
            <a:solidFill>
              <a:schemeClr val="accent4">
                <a:lumMod val="40000"/>
                <a:lumOff val="60000"/>
              </a:schemeClr>
            </a:solidFill>
          </a:endParaRPr>
        </a:p>
      </xdr:txBody>
    </xdr:sp>
    <xdr:clientData/>
  </xdr:twoCellAnchor>
  <xdr:twoCellAnchor>
    <xdr:from>
      <xdr:col>8</xdr:col>
      <xdr:colOff>247649</xdr:colOff>
      <xdr:row>14</xdr:row>
      <xdr:rowOff>174624</xdr:rowOff>
    </xdr:from>
    <xdr:to>
      <xdr:col>9</xdr:col>
      <xdr:colOff>342264</xdr:colOff>
      <xdr:row>15</xdr:row>
      <xdr:rowOff>142875</xdr:rowOff>
    </xdr:to>
    <xdr:sp macro="" textlink="Pivot!G8">
      <xdr:nvSpPr>
        <xdr:cNvPr id="39" name="Rectangle 38">
          <a:extLst>
            <a:ext uri="{FF2B5EF4-FFF2-40B4-BE49-F238E27FC236}">
              <a16:creationId xmlns:a16="http://schemas.microsoft.com/office/drawing/2014/main" id="{CDA5B3D8-841B-4097-9F0E-B39A6B1FC8B8}"/>
            </a:ext>
          </a:extLst>
        </xdr:cNvPr>
        <xdr:cNvSpPr/>
      </xdr:nvSpPr>
      <xdr:spPr>
        <a:xfrm>
          <a:off x="5124449" y="2841624"/>
          <a:ext cx="704215" cy="15875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3B2A45A7-AE43-4081-9210-6C69988C8F28}" type="TxLink">
            <a:rPr lang="en-US" sz="1100" b="1" i="0" u="none" strike="noStrike">
              <a:solidFill>
                <a:schemeClr val="accent4">
                  <a:lumMod val="40000"/>
                  <a:lumOff val="60000"/>
                </a:schemeClr>
              </a:solidFill>
              <a:latin typeface="Calibri"/>
              <a:ea typeface="+mn-ea"/>
              <a:cs typeface="Calibri"/>
            </a:rPr>
            <a:pPr marL="0" indent="0" algn="ctr"/>
            <a:t>731170</a:t>
          </a:fld>
          <a:endParaRPr lang="en-IN" sz="1100" b="1">
            <a:solidFill>
              <a:schemeClr val="accent4">
                <a:lumMod val="40000"/>
                <a:lumOff val="6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238125</xdr:colOff>
      <xdr:row>15</xdr:row>
      <xdr:rowOff>180975</xdr:rowOff>
    </xdr:from>
    <xdr:to>
      <xdr:col>9</xdr:col>
      <xdr:colOff>320675</xdr:colOff>
      <xdr:row>16</xdr:row>
      <xdr:rowOff>150583</xdr:rowOff>
    </xdr:to>
    <xdr:sp macro="" textlink="Pivot!G7">
      <xdr:nvSpPr>
        <xdr:cNvPr id="40" name="Rectangle 39">
          <a:extLst>
            <a:ext uri="{FF2B5EF4-FFF2-40B4-BE49-F238E27FC236}">
              <a16:creationId xmlns:a16="http://schemas.microsoft.com/office/drawing/2014/main" id="{264F2B89-B7B9-49A4-BC47-B277E0E66927}"/>
            </a:ext>
          </a:extLst>
        </xdr:cNvPr>
        <xdr:cNvSpPr/>
      </xdr:nvSpPr>
      <xdr:spPr>
        <a:xfrm>
          <a:off x="5114925" y="3038475"/>
          <a:ext cx="692150" cy="16010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4795B171-A594-498C-9429-71F4C3739390}" type="TxLink">
            <a:rPr lang="en-US" sz="1100" b="1" i="0" u="none" strike="noStrike">
              <a:solidFill>
                <a:schemeClr val="accent4">
                  <a:lumMod val="40000"/>
                  <a:lumOff val="60000"/>
                </a:schemeClr>
              </a:solidFill>
              <a:latin typeface="Calibri"/>
              <a:ea typeface="+mn-ea"/>
              <a:cs typeface="Calibri"/>
            </a:rPr>
            <a:pPr marL="0" indent="0" algn="ctr"/>
            <a:t>959266</a:t>
          </a:fld>
          <a:endParaRPr lang="en-IN" sz="1100" b="1">
            <a:solidFill>
              <a:schemeClr val="accent4">
                <a:lumMod val="40000"/>
                <a:lumOff val="6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247650</xdr:colOff>
      <xdr:row>16</xdr:row>
      <xdr:rowOff>180975</xdr:rowOff>
    </xdr:from>
    <xdr:to>
      <xdr:col>9</xdr:col>
      <xdr:colOff>345652</xdr:colOff>
      <xdr:row>17</xdr:row>
      <xdr:rowOff>160108</xdr:rowOff>
    </xdr:to>
    <xdr:sp macro="" textlink="Pivot!G6">
      <xdr:nvSpPr>
        <xdr:cNvPr id="41" name="Rectangle 40">
          <a:extLst>
            <a:ext uri="{FF2B5EF4-FFF2-40B4-BE49-F238E27FC236}">
              <a16:creationId xmlns:a16="http://schemas.microsoft.com/office/drawing/2014/main" id="{625EFE6C-7612-45B9-829A-BF5B6CA29F2B}"/>
            </a:ext>
          </a:extLst>
        </xdr:cNvPr>
        <xdr:cNvSpPr/>
      </xdr:nvSpPr>
      <xdr:spPr>
        <a:xfrm>
          <a:off x="5124450" y="3228975"/>
          <a:ext cx="707602" cy="16963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fld id="{B8AC016C-E0F2-4F5B-8C63-E93468DA8FD8}" type="TxLink">
            <a:rPr lang="en-US" sz="1100" b="1" i="0" u="none" strike="noStrike">
              <a:solidFill>
                <a:schemeClr val="accent4">
                  <a:lumMod val="40000"/>
                  <a:lumOff val="60000"/>
                </a:schemeClr>
              </a:solidFill>
              <a:latin typeface="Calibri"/>
              <a:ea typeface="+mn-ea"/>
              <a:cs typeface="Calibri"/>
            </a:rPr>
            <a:pPr marL="0" indent="0" algn="ctr"/>
            <a:t>633594</a:t>
          </a:fld>
          <a:endParaRPr lang="en-IN" sz="1100" b="1">
            <a:solidFill>
              <a:schemeClr val="accent4">
                <a:lumMod val="40000"/>
                <a:lumOff val="6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257174</xdr:colOff>
      <xdr:row>18</xdr:row>
      <xdr:rowOff>0</xdr:rowOff>
    </xdr:from>
    <xdr:to>
      <xdr:col>9</xdr:col>
      <xdr:colOff>337819</xdr:colOff>
      <xdr:row>18</xdr:row>
      <xdr:rowOff>158295</xdr:rowOff>
    </xdr:to>
    <xdr:sp macro="" textlink="Pivot!G5">
      <xdr:nvSpPr>
        <xdr:cNvPr id="42" name="Rectangle 41">
          <a:extLst>
            <a:ext uri="{FF2B5EF4-FFF2-40B4-BE49-F238E27FC236}">
              <a16:creationId xmlns:a16="http://schemas.microsoft.com/office/drawing/2014/main" id="{1592AE32-0F7B-429A-9B8C-8E2B5D071DBD}"/>
            </a:ext>
          </a:extLst>
        </xdr:cNvPr>
        <xdr:cNvSpPr/>
      </xdr:nvSpPr>
      <xdr:spPr>
        <a:xfrm>
          <a:off x="5133974" y="3429000"/>
          <a:ext cx="690245" cy="15829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fld id="{79365928-5651-498C-B309-2653E417BADA}" type="TxLink">
            <a:rPr lang="en-US" sz="1100" b="1" i="0" u="none" strike="noStrike">
              <a:solidFill>
                <a:schemeClr val="accent4">
                  <a:lumMod val="40000"/>
                  <a:lumOff val="60000"/>
                </a:schemeClr>
              </a:solidFill>
              <a:latin typeface="Calibri"/>
              <a:ea typeface="+mn-ea"/>
              <a:cs typeface="Calibri"/>
            </a:rPr>
            <a:pPr marL="0" indent="0" algn="ctr"/>
            <a:t>613842</a:t>
          </a:fld>
          <a:endParaRPr lang="en-IN" sz="1100" b="1">
            <a:solidFill>
              <a:schemeClr val="accent4">
                <a:lumMod val="40000"/>
                <a:lumOff val="6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266700</xdr:colOff>
      <xdr:row>19</xdr:row>
      <xdr:rowOff>9525</xdr:rowOff>
    </xdr:from>
    <xdr:to>
      <xdr:col>9</xdr:col>
      <xdr:colOff>337820</xdr:colOff>
      <xdr:row>19</xdr:row>
      <xdr:rowOff>167820</xdr:rowOff>
    </xdr:to>
    <xdr:sp macro="" textlink="Pivot!G4">
      <xdr:nvSpPr>
        <xdr:cNvPr id="43" name="Rectangle 42">
          <a:extLst>
            <a:ext uri="{FF2B5EF4-FFF2-40B4-BE49-F238E27FC236}">
              <a16:creationId xmlns:a16="http://schemas.microsoft.com/office/drawing/2014/main" id="{4EE8F7CF-B5BE-4639-AB38-CC352C90A216}"/>
            </a:ext>
          </a:extLst>
        </xdr:cNvPr>
        <xdr:cNvSpPr/>
      </xdr:nvSpPr>
      <xdr:spPr>
        <a:xfrm>
          <a:off x="5143500" y="3629025"/>
          <a:ext cx="680720" cy="15829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fld id="{AE646942-17BB-484B-8F30-D0B314D6952E}" type="TxLink">
            <a:rPr lang="en-US" sz="1100" b="1" i="0" u="none" strike="noStrike">
              <a:solidFill>
                <a:schemeClr val="accent4">
                  <a:lumMod val="40000"/>
                  <a:lumOff val="60000"/>
                </a:schemeClr>
              </a:solidFill>
              <a:latin typeface="Calibri"/>
              <a:ea typeface="+mn-ea"/>
              <a:cs typeface="Calibri"/>
            </a:rPr>
            <a:pPr marL="0" indent="0" algn="ctr"/>
            <a:t>167041</a:t>
          </a:fld>
          <a:endParaRPr lang="en-IN" sz="1100" b="1">
            <a:solidFill>
              <a:schemeClr val="accent4">
                <a:lumMod val="40000"/>
                <a:lumOff val="6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247649</xdr:colOff>
      <xdr:row>19</xdr:row>
      <xdr:rowOff>180975</xdr:rowOff>
    </xdr:from>
    <xdr:to>
      <xdr:col>8</xdr:col>
      <xdr:colOff>9524</xdr:colOff>
      <xdr:row>20</xdr:row>
      <xdr:rowOff>171450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64C09B6F-6628-4A16-ACF9-2674AC57EE26}"/>
            </a:ext>
          </a:extLst>
        </xdr:cNvPr>
        <xdr:cNvSpPr/>
      </xdr:nvSpPr>
      <xdr:spPr>
        <a:xfrm>
          <a:off x="3905249" y="3800475"/>
          <a:ext cx="981075" cy="18097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IN" sz="1400" b="1">
              <a:solidFill>
                <a:srgbClr val="FFFF00"/>
              </a:solidFill>
              <a:latin typeface="+mn-lt"/>
              <a:ea typeface="+mn-ea"/>
              <a:cs typeface="+mn-cs"/>
            </a:rPr>
            <a:t>Salaries</a:t>
          </a:r>
        </a:p>
      </xdr:txBody>
    </xdr:sp>
    <xdr:clientData/>
  </xdr:twoCellAnchor>
  <xdr:twoCellAnchor>
    <xdr:from>
      <xdr:col>7</xdr:col>
      <xdr:colOff>57149</xdr:colOff>
      <xdr:row>20</xdr:row>
      <xdr:rowOff>161926</xdr:rowOff>
    </xdr:from>
    <xdr:to>
      <xdr:col>9</xdr:col>
      <xdr:colOff>581025</xdr:colOff>
      <xdr:row>21</xdr:row>
      <xdr:rowOff>142876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14EFC204-D976-4072-AA5D-9B0A19044D18}"/>
            </a:ext>
          </a:extLst>
        </xdr:cNvPr>
        <xdr:cNvSpPr/>
      </xdr:nvSpPr>
      <xdr:spPr>
        <a:xfrm>
          <a:off x="4324349" y="3971926"/>
          <a:ext cx="1743076" cy="1714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IN" sz="1100" b="1">
              <a:solidFill>
                <a:schemeClr val="bg2">
                  <a:lumMod val="75000"/>
                </a:schemeClr>
              </a:solidFill>
              <a:latin typeface="+mn-lt"/>
              <a:ea typeface="+mn-ea"/>
              <a:cs typeface="+mn-cs"/>
            </a:rPr>
            <a:t>Salary amount by job titles</a:t>
          </a:r>
        </a:p>
      </xdr:txBody>
    </xdr:sp>
    <xdr:clientData/>
  </xdr:twoCellAnchor>
  <xdr:twoCellAnchor>
    <xdr:from>
      <xdr:col>9</xdr:col>
      <xdr:colOff>542925</xdr:colOff>
      <xdr:row>11</xdr:row>
      <xdr:rowOff>66675</xdr:rowOff>
    </xdr:from>
    <xdr:to>
      <xdr:col>11</xdr:col>
      <xdr:colOff>476250</xdr:colOff>
      <xdr:row>17</xdr:row>
      <xdr:rowOff>57150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C646A5A3-B8E0-42E7-B194-52D5F8E4E2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609599</xdr:colOff>
      <xdr:row>12</xdr:row>
      <xdr:rowOff>133349</xdr:rowOff>
    </xdr:from>
    <xdr:to>
      <xdr:col>6</xdr:col>
      <xdr:colOff>276224</xdr:colOff>
      <xdr:row>21</xdr:row>
      <xdr:rowOff>161924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09DABB5D-BAE4-4034-8AB3-4B82A83674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600074</xdr:colOff>
      <xdr:row>11</xdr:row>
      <xdr:rowOff>133350</xdr:rowOff>
    </xdr:from>
    <xdr:to>
      <xdr:col>4</xdr:col>
      <xdr:colOff>266699</xdr:colOff>
      <xdr:row>12</xdr:row>
      <xdr:rowOff>133350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9DF0070E-9CBD-40D3-9EB8-4E2CB7034D94}"/>
            </a:ext>
          </a:extLst>
        </xdr:cNvPr>
        <xdr:cNvSpPr/>
      </xdr:nvSpPr>
      <xdr:spPr>
        <a:xfrm>
          <a:off x="1819274" y="2228850"/>
          <a:ext cx="885825" cy="190500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rgbClr val="FFFF00"/>
              </a:solidFill>
            </a:rPr>
            <a:t>Age Range </a:t>
          </a:r>
        </a:p>
      </xdr:txBody>
    </xdr:sp>
    <xdr:clientData/>
  </xdr:twoCellAnchor>
  <xdr:twoCellAnchor>
    <xdr:from>
      <xdr:col>4</xdr:col>
      <xdr:colOff>180974</xdr:colOff>
      <xdr:row>11</xdr:row>
      <xdr:rowOff>142875</xdr:rowOff>
    </xdr:from>
    <xdr:to>
      <xdr:col>6</xdr:col>
      <xdr:colOff>371475</xdr:colOff>
      <xdr:row>14</xdr:row>
      <xdr:rowOff>47625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DB3021E8-8D7B-4224-ACFF-1B2C80224105}"/>
            </a:ext>
          </a:extLst>
        </xdr:cNvPr>
        <xdr:cNvSpPr/>
      </xdr:nvSpPr>
      <xdr:spPr>
        <a:xfrm>
          <a:off x="2619374" y="2238375"/>
          <a:ext cx="1409701" cy="476250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chemeClr val="bg2">
                  <a:lumMod val="75000"/>
                </a:schemeClr>
              </a:solidFill>
            </a:rPr>
            <a:t>No of</a:t>
          </a:r>
          <a:r>
            <a:rPr lang="en-IN" sz="800" b="1" baseline="0">
              <a:solidFill>
                <a:schemeClr val="bg2">
                  <a:lumMod val="75000"/>
                </a:schemeClr>
              </a:solidFill>
            </a:rPr>
            <a:t> employees according to age ranges and genders</a:t>
          </a:r>
          <a:endParaRPr lang="en-IN" sz="800" b="1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9525</xdr:colOff>
      <xdr:row>18</xdr:row>
      <xdr:rowOff>180975</xdr:rowOff>
    </xdr:from>
    <xdr:to>
      <xdr:col>3</xdr:col>
      <xdr:colOff>19050</xdr:colOff>
      <xdr:row>21</xdr:row>
      <xdr:rowOff>161924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0" name="Chart 59">
              <a:extLst>
                <a:ext uri="{FF2B5EF4-FFF2-40B4-BE49-F238E27FC236}">
                  <a16:creationId xmlns:a16="http://schemas.microsoft.com/office/drawing/2014/main" id="{4374C20B-D6B8-41B5-8BD8-DD724464FD27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3609975"/>
              <a:ext cx="1838325" cy="5524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16</xdr:row>
      <xdr:rowOff>66674</xdr:rowOff>
    </xdr:from>
    <xdr:to>
      <xdr:col>3</xdr:col>
      <xdr:colOff>38099</xdr:colOff>
      <xdr:row>19</xdr:row>
      <xdr:rowOff>57149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1" name="Chart 60">
              <a:extLst>
                <a:ext uri="{FF2B5EF4-FFF2-40B4-BE49-F238E27FC236}">
                  <a16:creationId xmlns:a16="http://schemas.microsoft.com/office/drawing/2014/main" id="{CE1859A2-5468-4CAA-AFF4-FC36D8C410DA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114674"/>
              <a:ext cx="1866899" cy="561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13</xdr:row>
      <xdr:rowOff>133350</xdr:rowOff>
    </xdr:from>
    <xdr:to>
      <xdr:col>3</xdr:col>
      <xdr:colOff>38100</xdr:colOff>
      <xdr:row>16</xdr:row>
      <xdr:rowOff>133351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2" name="Chart 61">
              <a:extLst>
                <a:ext uri="{FF2B5EF4-FFF2-40B4-BE49-F238E27FC236}">
                  <a16:creationId xmlns:a16="http://schemas.microsoft.com/office/drawing/2014/main" id="{0C120DA9-7E65-4450-BD19-358C5B11740B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609850"/>
              <a:ext cx="1866900" cy="5715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13</xdr:row>
      <xdr:rowOff>1</xdr:rowOff>
    </xdr:from>
    <xdr:to>
      <xdr:col>1</xdr:col>
      <xdr:colOff>600074</xdr:colOff>
      <xdr:row>14</xdr:row>
      <xdr:rowOff>76201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2D3D3DC2-8323-495A-AAD9-2C9FEE5B9CE5}"/>
            </a:ext>
          </a:extLst>
        </xdr:cNvPr>
        <xdr:cNvSpPr/>
      </xdr:nvSpPr>
      <xdr:spPr>
        <a:xfrm>
          <a:off x="0" y="2476501"/>
          <a:ext cx="1209674" cy="266700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rgbClr val="FFFF00"/>
              </a:solidFill>
            </a:rPr>
            <a:t>Work Location</a:t>
          </a:r>
        </a:p>
      </xdr:txBody>
    </xdr:sp>
    <xdr:clientData/>
  </xdr:twoCellAnchor>
  <xdr:twoCellAnchor>
    <xdr:from>
      <xdr:col>0</xdr:col>
      <xdr:colOff>104775</xdr:colOff>
      <xdr:row>7</xdr:row>
      <xdr:rowOff>47625</xdr:rowOff>
    </xdr:from>
    <xdr:to>
      <xdr:col>1</xdr:col>
      <xdr:colOff>561975</xdr:colOff>
      <xdr:row>8</xdr:row>
      <xdr:rowOff>76200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EE7C6A68-85AE-459D-AA50-2CFA4D96FD2D}"/>
            </a:ext>
          </a:extLst>
        </xdr:cNvPr>
        <xdr:cNvSpPr/>
      </xdr:nvSpPr>
      <xdr:spPr>
        <a:xfrm>
          <a:off x="104775" y="1381125"/>
          <a:ext cx="1066800" cy="2190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10</xdr:row>
      <xdr:rowOff>161926</xdr:rowOff>
    </xdr:from>
    <xdr:to>
      <xdr:col>1</xdr:col>
      <xdr:colOff>600074</xdr:colOff>
      <xdr:row>12</xdr:row>
      <xdr:rowOff>47626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292511EB-410E-47BE-884E-73635286E1A8}"/>
            </a:ext>
          </a:extLst>
        </xdr:cNvPr>
        <xdr:cNvSpPr/>
      </xdr:nvSpPr>
      <xdr:spPr>
        <a:xfrm>
          <a:off x="0" y="2066926"/>
          <a:ext cx="1209674" cy="266700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Communication</a:t>
          </a:r>
          <a:r>
            <a:rPr lang="en-IN" b="1"/>
            <a:t> </a:t>
          </a:r>
          <a:endParaRPr lang="en-IN" sz="1100" b="1">
            <a:solidFill>
              <a:srgbClr val="FFFF00"/>
            </a:solidFill>
          </a:endParaRPr>
        </a:p>
      </xdr:txBody>
    </xdr:sp>
    <xdr:clientData/>
  </xdr:twoCellAnchor>
  <xdr:twoCellAnchor>
    <xdr:from>
      <xdr:col>0</xdr:col>
      <xdr:colOff>0</xdr:colOff>
      <xdr:row>9</xdr:row>
      <xdr:rowOff>104776</xdr:rowOff>
    </xdr:from>
    <xdr:to>
      <xdr:col>1</xdr:col>
      <xdr:colOff>600074</xdr:colOff>
      <xdr:row>10</xdr:row>
      <xdr:rowOff>180976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94111507-CE3A-4C8C-996D-47A847E4A6F3}"/>
            </a:ext>
          </a:extLst>
        </xdr:cNvPr>
        <xdr:cNvSpPr/>
      </xdr:nvSpPr>
      <xdr:spPr>
        <a:xfrm>
          <a:off x="0" y="1819276"/>
          <a:ext cx="1209674" cy="266700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Design</a:t>
          </a:r>
          <a:r>
            <a:rPr lang="en-IN" b="1"/>
            <a:t> </a:t>
          </a:r>
          <a:endParaRPr lang="en-IN" sz="1100" b="1">
            <a:solidFill>
              <a:srgbClr val="FFFF00"/>
            </a:solidFill>
          </a:endParaRPr>
        </a:p>
      </xdr:txBody>
    </xdr:sp>
    <xdr:clientData/>
  </xdr:twoCellAnchor>
  <xdr:twoCellAnchor>
    <xdr:from>
      <xdr:col>0</xdr:col>
      <xdr:colOff>0</xdr:colOff>
      <xdr:row>8</xdr:row>
      <xdr:rowOff>19051</xdr:rowOff>
    </xdr:from>
    <xdr:to>
      <xdr:col>1</xdr:col>
      <xdr:colOff>600074</xdr:colOff>
      <xdr:row>9</xdr:row>
      <xdr:rowOff>95251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36964E6E-E5D3-42AB-A962-CDF6A9FCEBA6}"/>
            </a:ext>
          </a:extLst>
        </xdr:cNvPr>
        <xdr:cNvSpPr/>
      </xdr:nvSpPr>
      <xdr:spPr>
        <a:xfrm>
          <a:off x="0" y="1543051"/>
          <a:ext cx="1209674" cy="266700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en-IN" b="1"/>
            <a:t>  </a:t>
          </a:r>
          <a:endParaRPr lang="en-IN" sz="1100" b="1">
            <a:solidFill>
              <a:srgbClr val="FFFF00"/>
            </a:solidFill>
          </a:endParaRPr>
        </a:p>
      </xdr:txBody>
    </xdr:sp>
    <xdr:clientData/>
  </xdr:twoCellAnchor>
  <xdr:twoCellAnchor>
    <xdr:from>
      <xdr:col>0</xdr:col>
      <xdr:colOff>0</xdr:colOff>
      <xdr:row>6</xdr:row>
      <xdr:rowOff>123826</xdr:rowOff>
    </xdr:from>
    <xdr:to>
      <xdr:col>1</xdr:col>
      <xdr:colOff>600074</xdr:colOff>
      <xdr:row>8</xdr:row>
      <xdr:rowOff>9526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2FA4D7B4-9B53-4E61-82F0-59DEF56E0225}"/>
            </a:ext>
          </a:extLst>
        </xdr:cNvPr>
        <xdr:cNvSpPr/>
      </xdr:nvSpPr>
      <xdr:spPr>
        <a:xfrm>
          <a:off x="0" y="1266826"/>
          <a:ext cx="1209674" cy="266700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Management</a:t>
          </a:r>
          <a:r>
            <a:rPr lang="en-IN" b="1"/>
            <a:t>   </a:t>
          </a:r>
          <a:endParaRPr lang="en-IN" sz="1100" b="1">
            <a:solidFill>
              <a:srgbClr val="FFFF00"/>
            </a:solidFill>
          </a:endParaRPr>
        </a:p>
      </xdr:txBody>
    </xdr:sp>
    <xdr:clientData/>
  </xdr:twoCellAnchor>
  <xdr:twoCellAnchor>
    <xdr:from>
      <xdr:col>0</xdr:col>
      <xdr:colOff>0</xdr:colOff>
      <xdr:row>5</xdr:row>
      <xdr:rowOff>38101</xdr:rowOff>
    </xdr:from>
    <xdr:to>
      <xdr:col>1</xdr:col>
      <xdr:colOff>600074</xdr:colOff>
      <xdr:row>6</xdr:row>
      <xdr:rowOff>114301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89007865-45B5-410A-BD09-AC370645440B}"/>
            </a:ext>
          </a:extLst>
        </xdr:cNvPr>
        <xdr:cNvSpPr/>
      </xdr:nvSpPr>
      <xdr:spPr>
        <a:xfrm>
          <a:off x="0" y="990601"/>
          <a:ext cx="1209674" cy="266700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Python</a:t>
          </a:r>
          <a:r>
            <a:rPr lang="en-IN" b="1"/>
            <a:t>   </a:t>
          </a:r>
          <a:endParaRPr lang="en-IN" sz="1100" b="1">
            <a:solidFill>
              <a:srgbClr val="FFFF00"/>
            </a:solidFill>
          </a:endParaRPr>
        </a:p>
      </xdr:txBody>
    </xdr:sp>
    <xdr:clientData/>
  </xdr:twoCellAnchor>
  <xdr:twoCellAnchor>
    <xdr:from>
      <xdr:col>1</xdr:col>
      <xdr:colOff>438150</xdr:colOff>
      <xdr:row>10</xdr:row>
      <xdr:rowOff>152401</xdr:rowOff>
    </xdr:from>
    <xdr:to>
      <xdr:col>3</xdr:col>
      <xdr:colOff>66675</xdr:colOff>
      <xdr:row>12</xdr:row>
      <xdr:rowOff>38101</xdr:rowOff>
    </xdr:to>
    <xdr:sp macro="" textlink="Pivot!U4">
      <xdr:nvSpPr>
        <xdr:cNvPr id="68" name="Rectangle 67">
          <a:extLst>
            <a:ext uri="{FF2B5EF4-FFF2-40B4-BE49-F238E27FC236}">
              <a16:creationId xmlns:a16="http://schemas.microsoft.com/office/drawing/2014/main" id="{D5749A59-EB32-4F70-AA3D-899A9890C41B}"/>
            </a:ext>
          </a:extLst>
        </xdr:cNvPr>
        <xdr:cNvSpPr/>
      </xdr:nvSpPr>
      <xdr:spPr>
        <a:xfrm>
          <a:off x="1047750" y="2057401"/>
          <a:ext cx="847725" cy="266700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132D899D-F0EB-482A-B013-7FA662713807}" type="TxLink">
            <a:rPr lang="en-US" sz="1100" b="1" i="0" u="none" strike="noStrike">
              <a:solidFill>
                <a:srgbClr val="FFC000"/>
              </a:solidFill>
              <a:effectLst/>
              <a:latin typeface="+mn-lt"/>
              <a:ea typeface="+mn-ea"/>
              <a:cs typeface="+mn-cs"/>
            </a:rPr>
            <a:pPr marL="0" indent="0" algn="l"/>
            <a:t>12</a:t>
          </a:fld>
          <a:endParaRPr lang="en-IN" sz="1100" b="1" i="0" u="none" strike="noStrike">
            <a:solidFill>
              <a:srgbClr val="FFC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438150</xdr:colOff>
      <xdr:row>9</xdr:row>
      <xdr:rowOff>95251</xdr:rowOff>
    </xdr:from>
    <xdr:to>
      <xdr:col>3</xdr:col>
      <xdr:colOff>66675</xdr:colOff>
      <xdr:row>10</xdr:row>
      <xdr:rowOff>171451</xdr:rowOff>
    </xdr:to>
    <xdr:sp macro="" textlink="Pivot!U5">
      <xdr:nvSpPr>
        <xdr:cNvPr id="69" name="Rectangle 68">
          <a:extLst>
            <a:ext uri="{FF2B5EF4-FFF2-40B4-BE49-F238E27FC236}">
              <a16:creationId xmlns:a16="http://schemas.microsoft.com/office/drawing/2014/main" id="{FF6832A9-3F5E-4FEB-9088-B466D2CDCEB8}"/>
            </a:ext>
          </a:extLst>
        </xdr:cNvPr>
        <xdr:cNvSpPr/>
      </xdr:nvSpPr>
      <xdr:spPr>
        <a:xfrm>
          <a:off x="1047750" y="1809751"/>
          <a:ext cx="847725" cy="266700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0404A3A3-E307-416D-AB0D-C1231A4852B0}" type="TxLink">
            <a:rPr lang="en-US" sz="1100" b="1" i="0" u="none" strike="noStrike">
              <a:solidFill>
                <a:srgbClr val="FFC000"/>
              </a:solidFill>
              <a:effectLst/>
              <a:latin typeface="+mn-lt"/>
              <a:ea typeface="+mn-ea"/>
              <a:cs typeface="+mn-cs"/>
            </a:rPr>
            <a:pPr marL="0" indent="0" algn="l"/>
            <a:t>11</a:t>
          </a:fld>
          <a:endParaRPr lang="en-IN" sz="1100" b="1" i="0" u="none" strike="noStrike">
            <a:solidFill>
              <a:srgbClr val="FFC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438150</xdr:colOff>
      <xdr:row>8</xdr:row>
      <xdr:rowOff>9526</xdr:rowOff>
    </xdr:from>
    <xdr:to>
      <xdr:col>3</xdr:col>
      <xdr:colOff>66675</xdr:colOff>
      <xdr:row>9</xdr:row>
      <xdr:rowOff>85726</xdr:rowOff>
    </xdr:to>
    <xdr:sp macro="" textlink="Pivot!U6">
      <xdr:nvSpPr>
        <xdr:cNvPr id="70" name="Rectangle 69">
          <a:extLst>
            <a:ext uri="{FF2B5EF4-FFF2-40B4-BE49-F238E27FC236}">
              <a16:creationId xmlns:a16="http://schemas.microsoft.com/office/drawing/2014/main" id="{4AFE5CEE-CD16-40D7-A559-A8AE03005FC4}"/>
            </a:ext>
          </a:extLst>
        </xdr:cNvPr>
        <xdr:cNvSpPr/>
      </xdr:nvSpPr>
      <xdr:spPr>
        <a:xfrm>
          <a:off x="1047750" y="1533526"/>
          <a:ext cx="847725" cy="266700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8872402A-5FA6-4C44-917C-F5CB3A852FDA}" type="TxLink">
            <a:rPr lang="en-US" sz="1100" b="1" i="0" u="none" strike="noStrike">
              <a:solidFill>
                <a:srgbClr val="FFC000"/>
              </a:solidFill>
              <a:effectLst/>
              <a:latin typeface="+mn-lt"/>
              <a:ea typeface="+mn-ea"/>
              <a:cs typeface="+mn-cs"/>
            </a:rPr>
            <a:pPr marL="0" indent="0" algn="l"/>
            <a:t>7</a:t>
          </a:fld>
          <a:endParaRPr lang="en-IN" sz="1100" b="1" i="0" u="none" strike="noStrike">
            <a:solidFill>
              <a:srgbClr val="FFC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438150</xdr:colOff>
      <xdr:row>6</xdr:row>
      <xdr:rowOff>114301</xdr:rowOff>
    </xdr:from>
    <xdr:to>
      <xdr:col>3</xdr:col>
      <xdr:colOff>66675</xdr:colOff>
      <xdr:row>8</xdr:row>
      <xdr:rowOff>1</xdr:rowOff>
    </xdr:to>
    <xdr:sp macro="" textlink="Pivot!U7">
      <xdr:nvSpPr>
        <xdr:cNvPr id="71" name="Rectangle 70">
          <a:extLst>
            <a:ext uri="{FF2B5EF4-FFF2-40B4-BE49-F238E27FC236}">
              <a16:creationId xmlns:a16="http://schemas.microsoft.com/office/drawing/2014/main" id="{E99022E7-30DA-4EA7-A3BA-0BE8FEF9354D}"/>
            </a:ext>
          </a:extLst>
        </xdr:cNvPr>
        <xdr:cNvSpPr/>
      </xdr:nvSpPr>
      <xdr:spPr>
        <a:xfrm>
          <a:off x="1047750" y="1257301"/>
          <a:ext cx="847725" cy="266700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82A6F0E7-8A75-4CA8-A6FC-5B09044F9B6F}" type="TxLink">
            <a:rPr lang="en-US" sz="1100" b="1" i="0" u="none" strike="noStrike">
              <a:solidFill>
                <a:srgbClr val="FFC000"/>
              </a:solidFill>
              <a:effectLst/>
              <a:latin typeface="+mn-lt"/>
              <a:ea typeface="+mn-ea"/>
              <a:cs typeface="+mn-cs"/>
            </a:rPr>
            <a:pPr marL="0" indent="0" algn="l"/>
            <a:t>11</a:t>
          </a:fld>
          <a:endParaRPr lang="en-IN" sz="1100" b="1" i="0" u="none" strike="noStrike">
            <a:solidFill>
              <a:srgbClr val="FFC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438150</xdr:colOff>
      <xdr:row>5</xdr:row>
      <xdr:rowOff>38100</xdr:rowOff>
    </xdr:from>
    <xdr:to>
      <xdr:col>3</xdr:col>
      <xdr:colOff>66675</xdr:colOff>
      <xdr:row>6</xdr:row>
      <xdr:rowOff>104776</xdr:rowOff>
    </xdr:to>
    <xdr:sp macro="" textlink="Pivot!U8">
      <xdr:nvSpPr>
        <xdr:cNvPr id="72" name="Rectangle 71">
          <a:extLst>
            <a:ext uri="{FF2B5EF4-FFF2-40B4-BE49-F238E27FC236}">
              <a16:creationId xmlns:a16="http://schemas.microsoft.com/office/drawing/2014/main" id="{7139429A-3F7D-4B3D-B68D-BEA2E116BD22}"/>
            </a:ext>
          </a:extLst>
        </xdr:cNvPr>
        <xdr:cNvSpPr/>
      </xdr:nvSpPr>
      <xdr:spPr>
        <a:xfrm>
          <a:off x="1047750" y="990600"/>
          <a:ext cx="847725" cy="257176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47F6143F-A526-4F4E-8F61-A40DDB26B97B}" type="TxLink">
            <a:rPr lang="en-US" sz="1100" b="1" i="0" u="none" strike="noStrike">
              <a:solidFill>
                <a:srgbClr val="FFC000"/>
              </a:solidFill>
              <a:effectLst/>
              <a:latin typeface="+mn-lt"/>
              <a:ea typeface="+mn-ea"/>
              <a:cs typeface="+mn-cs"/>
            </a:rPr>
            <a:pPr marL="0" indent="0" algn="l"/>
            <a:t>9</a:t>
          </a:fld>
          <a:endParaRPr lang="en-IN" sz="1100" b="1" i="0" u="none" strike="noStrike">
            <a:solidFill>
              <a:srgbClr val="FFC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4</xdr:row>
      <xdr:rowOff>19051</xdr:rowOff>
    </xdr:from>
    <xdr:to>
      <xdr:col>3</xdr:col>
      <xdr:colOff>66674</xdr:colOff>
      <xdr:row>5</xdr:row>
      <xdr:rowOff>95251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AF691EEC-1F42-4C11-AEB7-AF9AD14BBC3B}"/>
            </a:ext>
          </a:extLst>
        </xdr:cNvPr>
        <xdr:cNvSpPr/>
      </xdr:nvSpPr>
      <xdr:spPr>
        <a:xfrm>
          <a:off x="0" y="781051"/>
          <a:ext cx="1895474" cy="266700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 i="0" u="none" strike="noStrike">
              <a:solidFill>
                <a:srgbClr val="FFC000"/>
              </a:solidFill>
              <a:effectLst/>
              <a:latin typeface="+mn-lt"/>
              <a:ea typeface="+mn-ea"/>
              <a:cs typeface="+mn-cs"/>
            </a:rPr>
            <a:t>Skills</a:t>
          </a:r>
          <a:r>
            <a:rPr lang="en-IN" sz="1100" b="1" i="0" u="none" strike="noStrike">
              <a:solidFill>
                <a:srgbClr val="FFC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 i="0" u="none" strike="noStrike">
              <a:solidFill>
                <a:srgbClr val="FFC000"/>
              </a:solidFill>
              <a:effectLst/>
              <a:latin typeface="+mn-lt"/>
              <a:ea typeface="+mn-ea"/>
              <a:cs typeface="+mn-cs"/>
            </a:rPr>
            <a:t>BreakDown</a:t>
          </a:r>
          <a:endParaRPr lang="en-IN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1</xdr:col>
      <xdr:colOff>581026</xdr:colOff>
      <xdr:row>12</xdr:row>
      <xdr:rowOff>19050</xdr:rowOff>
    </xdr:from>
    <xdr:to>
      <xdr:col>3</xdr:col>
      <xdr:colOff>66676</xdr:colOff>
      <xdr:row>13</xdr:row>
      <xdr:rowOff>171450</xdr:rowOff>
    </xdr:to>
    <xdr:sp macro="" textlink="Pivot!U8">
      <xdr:nvSpPr>
        <xdr:cNvPr id="74" name="Rectangle 73">
          <a:extLst>
            <a:ext uri="{FF2B5EF4-FFF2-40B4-BE49-F238E27FC236}">
              <a16:creationId xmlns:a16="http://schemas.microsoft.com/office/drawing/2014/main" id="{00FEFAAA-3666-46C0-96A5-467BC2443068}"/>
            </a:ext>
          </a:extLst>
        </xdr:cNvPr>
        <xdr:cNvSpPr/>
      </xdr:nvSpPr>
      <xdr:spPr>
        <a:xfrm>
          <a:off x="1190626" y="2305050"/>
          <a:ext cx="704850" cy="342900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endParaRPr lang="en-IN" sz="1100" b="1" i="0" u="none" strike="noStrike">
            <a:solidFill>
              <a:srgbClr val="FFC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28575</xdr:rowOff>
    </xdr:from>
    <xdr:to>
      <xdr:col>2</xdr:col>
      <xdr:colOff>323849</xdr:colOff>
      <xdr:row>5</xdr:row>
      <xdr:rowOff>86256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5DCE78-10DF-40A3-A0AF-2C1AC3C6F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543049" cy="1010181"/>
        </a:xfrm>
        <a:prstGeom prst="rect">
          <a:avLst/>
        </a:prstGeom>
      </xdr:spPr>
    </xdr:pic>
    <xdr:clientData/>
  </xdr:twoCellAnchor>
  <xdr:twoCellAnchor>
    <xdr:from>
      <xdr:col>2</xdr:col>
      <xdr:colOff>581025</xdr:colOff>
      <xdr:row>7</xdr:row>
      <xdr:rowOff>1</xdr:rowOff>
    </xdr:from>
    <xdr:to>
      <xdr:col>4</xdr:col>
      <xdr:colOff>571499</xdr:colOff>
      <xdr:row>8</xdr:row>
      <xdr:rowOff>76201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576B6854-D703-4521-A1DD-448E94661A22}"/>
            </a:ext>
          </a:extLst>
        </xdr:cNvPr>
        <xdr:cNvSpPr/>
      </xdr:nvSpPr>
      <xdr:spPr>
        <a:xfrm>
          <a:off x="1800225" y="1333501"/>
          <a:ext cx="1209674" cy="266700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Male</a:t>
          </a:r>
          <a:r>
            <a:rPr lang="en-IN" b="1"/>
            <a:t>   </a:t>
          </a:r>
          <a:endParaRPr lang="en-IN" sz="1100" b="1">
            <a:solidFill>
              <a:srgbClr val="FFFF00"/>
            </a:solidFill>
          </a:endParaRPr>
        </a:p>
      </xdr:txBody>
    </xdr:sp>
    <xdr:clientData/>
  </xdr:twoCellAnchor>
  <xdr:twoCellAnchor>
    <xdr:from>
      <xdr:col>2</xdr:col>
      <xdr:colOff>380999</xdr:colOff>
      <xdr:row>7</xdr:row>
      <xdr:rowOff>180975</xdr:rowOff>
    </xdr:from>
    <xdr:to>
      <xdr:col>4</xdr:col>
      <xdr:colOff>447674</xdr:colOff>
      <xdr:row>11</xdr:row>
      <xdr:rowOff>161925</xdr:rowOff>
    </xdr:to>
    <xdr:graphicFrame macro="">
      <xdr:nvGraphicFramePr>
        <xdr:cNvPr id="77" name="Chart 76">
          <a:extLst>
            <a:ext uri="{FF2B5EF4-FFF2-40B4-BE49-F238E27FC236}">
              <a16:creationId xmlns:a16="http://schemas.microsoft.com/office/drawing/2014/main" id="{E62161AE-2F82-4015-9BAB-B40E1DB5DA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200025</xdr:colOff>
      <xdr:row>7</xdr:row>
      <xdr:rowOff>161925</xdr:rowOff>
    </xdr:from>
    <xdr:to>
      <xdr:col>6</xdr:col>
      <xdr:colOff>180975</xdr:colOff>
      <xdr:row>12</xdr:row>
      <xdr:rowOff>28574</xdr:rowOff>
    </xdr:to>
    <xdr:graphicFrame macro="">
      <xdr:nvGraphicFramePr>
        <xdr:cNvPr id="78" name="Chart 77">
          <a:extLst>
            <a:ext uri="{FF2B5EF4-FFF2-40B4-BE49-F238E27FC236}">
              <a16:creationId xmlns:a16="http://schemas.microsoft.com/office/drawing/2014/main" id="{A5D76382-071F-4B3C-8B64-6A2B34A26D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9525</xdr:colOff>
      <xdr:row>3</xdr:row>
      <xdr:rowOff>104775</xdr:rowOff>
    </xdr:from>
    <xdr:to>
      <xdr:col>5</xdr:col>
      <xdr:colOff>219075</xdr:colOff>
      <xdr:row>4</xdr:row>
      <xdr:rowOff>180975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1CEC824A-9E4F-4A3D-9F11-75CDDBEE950E}"/>
            </a:ext>
          </a:extLst>
        </xdr:cNvPr>
        <xdr:cNvSpPr/>
      </xdr:nvSpPr>
      <xdr:spPr>
        <a:xfrm>
          <a:off x="1838325" y="676275"/>
          <a:ext cx="1428750" cy="266700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IN" sz="1200" b="1" i="0" u="none" strike="noStrike">
              <a:solidFill>
                <a:srgbClr val="FFC000"/>
              </a:solidFill>
              <a:effectLst/>
              <a:latin typeface="+mn-lt"/>
              <a:ea typeface="+mn-ea"/>
              <a:cs typeface="+mn-cs"/>
            </a:rPr>
            <a:t>Employees</a:t>
          </a:r>
          <a:r>
            <a:rPr lang="en-IN" sz="1400" b="1" i="0" u="none" strike="noStrike">
              <a:solidFill>
                <a:srgbClr val="FFC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200" b="1" i="0" u="none" strike="noStrike">
              <a:solidFill>
                <a:srgbClr val="FFC000"/>
              </a:solidFill>
              <a:effectLst/>
              <a:latin typeface="+mn-lt"/>
              <a:ea typeface="+mn-ea"/>
              <a:cs typeface="+mn-cs"/>
            </a:rPr>
            <a:t>Number</a:t>
          </a:r>
          <a:r>
            <a:rPr lang="en-IN" sz="1400" b="1" i="0" u="none" strike="noStrike">
              <a:solidFill>
                <a:srgbClr val="FFC000"/>
              </a:solidFill>
              <a:effectLst/>
              <a:latin typeface="+mn-lt"/>
              <a:ea typeface="+mn-ea"/>
              <a:cs typeface="+mn-cs"/>
            </a:rPr>
            <a:t>   </a:t>
          </a:r>
        </a:p>
      </xdr:txBody>
    </xdr:sp>
    <xdr:clientData/>
  </xdr:twoCellAnchor>
  <xdr:twoCellAnchor>
    <xdr:from>
      <xdr:col>3</xdr:col>
      <xdr:colOff>28574</xdr:colOff>
      <xdr:row>4</xdr:row>
      <xdr:rowOff>133350</xdr:rowOff>
    </xdr:from>
    <xdr:to>
      <xdr:col>5</xdr:col>
      <xdr:colOff>19048</xdr:colOff>
      <xdr:row>6</xdr:row>
      <xdr:rowOff>19050</xdr:rowOff>
    </xdr:to>
    <xdr:sp macro="" textlink="Pivot!X6">
      <xdr:nvSpPr>
        <xdr:cNvPr id="80" name="Rectangle 79">
          <a:extLst>
            <a:ext uri="{FF2B5EF4-FFF2-40B4-BE49-F238E27FC236}">
              <a16:creationId xmlns:a16="http://schemas.microsoft.com/office/drawing/2014/main" id="{AE2D15C4-7A01-4672-90D0-5DB23B692B4F}"/>
            </a:ext>
          </a:extLst>
        </xdr:cNvPr>
        <xdr:cNvSpPr/>
      </xdr:nvSpPr>
      <xdr:spPr>
        <a:xfrm>
          <a:off x="1857374" y="895350"/>
          <a:ext cx="1209674" cy="266700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2921F5AA-B279-43F5-988E-65136C82ADB5}" type="TxLink">
            <a:rPr lang="en-US" sz="1800" b="1" i="0" u="none" strike="noStrike">
              <a:solidFill>
                <a:schemeClr val="bg1"/>
              </a:solidFill>
              <a:effectLst/>
              <a:latin typeface="Calibri"/>
              <a:ea typeface="+mn-ea"/>
              <a:cs typeface="Calibri"/>
            </a:rPr>
            <a:pPr algn="l"/>
            <a:t>50</a:t>
          </a:fld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419100</xdr:colOff>
      <xdr:row>6</xdr:row>
      <xdr:rowOff>180976</xdr:rowOff>
    </xdr:from>
    <xdr:to>
      <xdr:col>6</xdr:col>
      <xdr:colOff>409574</xdr:colOff>
      <xdr:row>8</xdr:row>
      <xdr:rowOff>66676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EEBEC2D5-D8E0-460B-9B4E-9EA3D400AA46}"/>
            </a:ext>
          </a:extLst>
        </xdr:cNvPr>
        <xdr:cNvSpPr/>
      </xdr:nvSpPr>
      <xdr:spPr>
        <a:xfrm>
          <a:off x="2857500" y="1323976"/>
          <a:ext cx="1209674" cy="266700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Female</a:t>
          </a:r>
          <a:r>
            <a:rPr lang="en-IN" b="1"/>
            <a:t>   </a:t>
          </a:r>
          <a:endParaRPr lang="en-IN" sz="1100" b="1">
            <a:solidFill>
              <a:srgbClr val="FFFF00"/>
            </a:solidFill>
          </a:endParaRPr>
        </a:p>
      </xdr:txBody>
    </xdr:sp>
    <xdr:clientData/>
  </xdr:twoCellAnchor>
  <xdr:twoCellAnchor>
    <xdr:from>
      <xdr:col>3</xdr:col>
      <xdr:colOff>19050</xdr:colOff>
      <xdr:row>6</xdr:row>
      <xdr:rowOff>1</xdr:rowOff>
    </xdr:from>
    <xdr:to>
      <xdr:col>5</xdr:col>
      <xdr:colOff>9524</xdr:colOff>
      <xdr:row>7</xdr:row>
      <xdr:rowOff>76201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BD60AAD0-2C92-4DE8-8872-0231B76C0FB3}"/>
            </a:ext>
          </a:extLst>
        </xdr:cNvPr>
        <xdr:cNvSpPr/>
      </xdr:nvSpPr>
      <xdr:spPr>
        <a:xfrm>
          <a:off x="1847850" y="1143001"/>
          <a:ext cx="1209674" cy="266700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Employees</a:t>
          </a:r>
          <a:endParaRPr lang="en-IN" sz="1000" b="0">
            <a:solidFill>
              <a:srgbClr val="FFFF00"/>
            </a:solidFill>
          </a:endParaRPr>
        </a:p>
      </xdr:txBody>
    </xdr:sp>
    <xdr:clientData/>
  </xdr:twoCellAnchor>
  <xdr:twoCellAnchor>
    <xdr:from>
      <xdr:col>8</xdr:col>
      <xdr:colOff>552449</xdr:colOff>
      <xdr:row>0</xdr:row>
      <xdr:rowOff>66674</xdr:rowOff>
    </xdr:from>
    <xdr:to>
      <xdr:col>14</xdr:col>
      <xdr:colOff>133350</xdr:colOff>
      <xdr:row>9</xdr:row>
      <xdr:rowOff>104775</xdr:rowOff>
    </xdr:to>
    <xdr:graphicFrame macro="">
      <xdr:nvGraphicFramePr>
        <xdr:cNvPr id="84" name="Chart 83">
          <a:extLst>
            <a:ext uri="{FF2B5EF4-FFF2-40B4-BE49-F238E27FC236}">
              <a16:creationId xmlns:a16="http://schemas.microsoft.com/office/drawing/2014/main" id="{5D4BD9A8-FC44-405C-98B0-894E5BA0CF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542925</xdr:colOff>
      <xdr:row>0</xdr:row>
      <xdr:rowOff>57150</xdr:rowOff>
    </xdr:from>
    <xdr:to>
      <xdr:col>11</xdr:col>
      <xdr:colOff>142875</xdr:colOff>
      <xdr:row>1</xdr:row>
      <xdr:rowOff>133350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E9BC1B01-CAD7-425C-88E5-229B7728B563}"/>
            </a:ext>
          </a:extLst>
        </xdr:cNvPr>
        <xdr:cNvSpPr/>
      </xdr:nvSpPr>
      <xdr:spPr>
        <a:xfrm>
          <a:off x="5419725" y="57150"/>
          <a:ext cx="1428750" cy="266700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IN" sz="1400" b="1" i="0" u="none" strike="noStrike">
              <a:solidFill>
                <a:srgbClr val="FFC000"/>
              </a:solidFill>
              <a:effectLst/>
              <a:latin typeface="+mn-lt"/>
              <a:ea typeface="+mn-ea"/>
              <a:cs typeface="+mn-cs"/>
            </a:rPr>
            <a:t>Leave Tracking</a:t>
          </a:r>
        </a:p>
      </xdr:txBody>
    </xdr:sp>
    <xdr:clientData/>
  </xdr:twoCellAnchor>
  <xdr:twoCellAnchor>
    <xdr:from>
      <xdr:col>8</xdr:col>
      <xdr:colOff>581025</xdr:colOff>
      <xdr:row>1</xdr:row>
      <xdr:rowOff>171450</xdr:rowOff>
    </xdr:from>
    <xdr:to>
      <xdr:col>11</xdr:col>
      <xdr:colOff>485775</xdr:colOff>
      <xdr:row>2</xdr:row>
      <xdr:rowOff>95250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25AE7F0-4C22-49A4-BABD-FFB0224DDD58}"/>
            </a:ext>
          </a:extLst>
        </xdr:cNvPr>
        <xdr:cNvSpPr/>
      </xdr:nvSpPr>
      <xdr:spPr>
        <a:xfrm>
          <a:off x="5457825" y="361950"/>
          <a:ext cx="1733550" cy="114300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IN" sz="10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Leave taken by job title</a:t>
          </a:r>
        </a:p>
      </xdr:txBody>
    </xdr:sp>
    <xdr:clientData/>
  </xdr:twoCellAnchor>
  <xdr:twoCellAnchor editAs="oneCell">
    <xdr:from>
      <xdr:col>9</xdr:col>
      <xdr:colOff>115056</xdr:colOff>
      <xdr:row>3</xdr:row>
      <xdr:rowOff>66675</xdr:rowOff>
    </xdr:from>
    <xdr:to>
      <xdr:col>10</xdr:col>
      <xdr:colOff>76200</xdr:colOff>
      <xdr:row>6</xdr:row>
      <xdr:rowOff>53077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106F71FB-BB0B-496B-914C-02A60B070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1456" y="638175"/>
          <a:ext cx="570744" cy="557902"/>
        </a:xfrm>
        <a:prstGeom prst="rect">
          <a:avLst/>
        </a:prstGeom>
      </xdr:spPr>
    </xdr:pic>
    <xdr:clientData/>
  </xdr:twoCellAnchor>
  <xdr:twoCellAnchor>
    <xdr:from>
      <xdr:col>5</xdr:col>
      <xdr:colOff>523874</xdr:colOff>
      <xdr:row>6</xdr:row>
      <xdr:rowOff>47625</xdr:rowOff>
    </xdr:from>
    <xdr:to>
      <xdr:col>9</xdr:col>
      <xdr:colOff>66675</xdr:colOff>
      <xdr:row>12</xdr:row>
      <xdr:rowOff>85725</xdr:rowOff>
    </xdr:to>
    <xdr:graphicFrame macro="">
      <xdr:nvGraphicFramePr>
        <xdr:cNvPr id="88" name="Chart 87">
          <a:extLst>
            <a:ext uri="{FF2B5EF4-FFF2-40B4-BE49-F238E27FC236}">
              <a16:creationId xmlns:a16="http://schemas.microsoft.com/office/drawing/2014/main" id="{E3253FC3-BC3A-4339-BA5D-2F7DF3034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57150</xdr:colOff>
      <xdr:row>4</xdr:row>
      <xdr:rowOff>171450</xdr:rowOff>
    </xdr:from>
    <xdr:to>
      <xdr:col>9</xdr:col>
      <xdr:colOff>85724</xdr:colOff>
      <xdr:row>6</xdr:row>
      <xdr:rowOff>57150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30DF504C-E6C5-455C-9884-87CA4D29D83B}"/>
            </a:ext>
          </a:extLst>
        </xdr:cNvPr>
        <xdr:cNvSpPr/>
      </xdr:nvSpPr>
      <xdr:spPr>
        <a:xfrm>
          <a:off x="3714750" y="933450"/>
          <a:ext cx="1857374" cy="266700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IN" sz="1400" b="1" i="0" u="none" strike="noStrike">
              <a:solidFill>
                <a:srgbClr val="FFC000"/>
              </a:solidFill>
              <a:effectLst/>
              <a:latin typeface="+mn-lt"/>
              <a:ea typeface="+mn-ea"/>
              <a:cs typeface="+mn-cs"/>
            </a:rPr>
            <a:t>Region wise Employee</a:t>
          </a:r>
        </a:p>
      </xdr:txBody>
    </xdr:sp>
    <xdr:clientData/>
  </xdr:twoCellAnchor>
  <xdr:twoCellAnchor>
    <xdr:from>
      <xdr:col>4</xdr:col>
      <xdr:colOff>514350</xdr:colOff>
      <xdr:row>0</xdr:row>
      <xdr:rowOff>57150</xdr:rowOff>
    </xdr:from>
    <xdr:to>
      <xdr:col>8</xdr:col>
      <xdr:colOff>276225</xdr:colOff>
      <xdr:row>1</xdr:row>
      <xdr:rowOff>171450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FA8CE70A-7D7F-4638-ABF3-6E2D7CD417B5}"/>
            </a:ext>
          </a:extLst>
        </xdr:cNvPr>
        <xdr:cNvSpPr/>
      </xdr:nvSpPr>
      <xdr:spPr>
        <a:xfrm>
          <a:off x="2952750" y="57150"/>
          <a:ext cx="2200275" cy="304800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600" b="1" i="0" u="none" strike="noStrike">
              <a:solidFill>
                <a:schemeClr val="bg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HR Managment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urav Deb" refreshedDate="46153.88239363426" createdVersion="7" refreshedVersion="7" minRefreshableVersion="3" recordCount="50" xr:uid="{44528F78-8E16-4A98-A3DE-775CC248A084}">
  <cacheSource type="worksheet">
    <worksheetSource name="df"/>
  </cacheSource>
  <cacheFields count="21">
    <cacheField name="Employee ID" numFmtId="0">
      <sharedItems containsSemiMixedTypes="0" containsString="0" containsNumber="1" containsInteger="1" minValue="1550" maxValue="9968"/>
    </cacheField>
    <cacheField name="Full Name" numFmtId="0">
      <sharedItems/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20" maxValue="60"/>
    </cacheField>
    <cacheField name="Age range" numFmtId="0">
      <sharedItems count="5">
        <s v="18-25"/>
        <s v="26-35"/>
        <s v="36-45"/>
        <s v="56 &lt;"/>
        <s v="46-55"/>
      </sharedItems>
    </cacheField>
    <cacheField name="Region" numFmtId="0">
      <sharedItems count="5">
        <s v="East"/>
        <s v="Central"/>
        <s v="West"/>
        <s v="South"/>
        <s v="North"/>
      </sharedItems>
    </cacheField>
    <cacheField name="Job Title" numFmtId="0">
      <sharedItems count="5">
        <s v="Manager"/>
        <s v="Designer"/>
        <s v="HR Specialist"/>
        <s v="Developer"/>
        <s v="Analyst"/>
      </sharedItems>
    </cacheField>
    <cacheField name="Department" numFmtId="0">
      <sharedItems count="5">
        <s v="Finance"/>
        <s v="HR"/>
        <s v="Marketing"/>
        <s v="Operations"/>
        <s v="IT"/>
      </sharedItems>
    </cacheField>
    <cacheField name="Manager/Supervisor" numFmtId="0">
      <sharedItems/>
    </cacheField>
    <cacheField name="Date of Hire" numFmtId="14">
      <sharedItems containsSemiMixedTypes="0" containsNonDate="0" containsDate="1" containsString="0" minDate="2014-12-09T00:00:00" maxDate="2024-09-04T00:00:00"/>
    </cacheField>
    <cacheField name="Employment Status" numFmtId="0">
      <sharedItems count="3">
        <s v="Full-Time"/>
        <s v="Contract"/>
        <s v="Part-Time"/>
      </sharedItems>
    </cacheField>
    <cacheField name="Work Location" numFmtId="0">
      <sharedItems count="3">
        <s v="Head Office"/>
        <s v="Branch Office"/>
        <s v="Remote"/>
      </sharedItems>
    </cacheField>
    <cacheField name="Salary" numFmtId="0">
      <sharedItems containsSemiMixedTypes="0" containsString="0" containsNumber="1" containsInteger="1" minValue="30137" maxValue="98961"/>
    </cacheField>
    <cacheField name="Pay Grade" numFmtId="0">
      <sharedItems/>
    </cacheField>
    <cacheField name="Bonus/Allowances" numFmtId="0">
      <sharedItems containsSemiMixedTypes="0" containsString="0" containsNumber="1" containsInteger="1" minValue="1024" maxValue="9911"/>
    </cacheField>
    <cacheField name="Insurance Details" numFmtId="0">
      <sharedItems/>
    </cacheField>
    <cacheField name="Leave Taken" numFmtId="0">
      <sharedItems containsSemiMixedTypes="0" containsString="0" containsNumber="1" containsInteger="1" minValue="0" maxValue="20"/>
    </cacheField>
    <cacheField name="Performance Rating" numFmtId="0">
      <sharedItems containsSemiMixedTypes="0" containsString="0" containsNumber="1" containsInteger="1" minValue="1" maxValue="5"/>
    </cacheField>
    <cacheField name="Training Programs Attended" numFmtId="0">
      <sharedItems/>
    </cacheField>
    <cacheField name="Skills" numFmtId="0">
      <sharedItems count="5">
        <s v="Design"/>
        <s v="Management"/>
        <s v="Python"/>
        <s v="Communication"/>
        <s v="Excel"/>
      </sharedItems>
    </cacheField>
    <cacheField name="Certification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4294"/>
    <s v="Lori Nguyen"/>
    <x v="0"/>
    <n v="25"/>
    <x v="0"/>
    <x v="0"/>
    <x v="0"/>
    <x v="0"/>
    <s v="Luis Reynolds"/>
    <d v="2019-03-15T00:00:00"/>
    <x v="0"/>
    <x v="0"/>
    <n v="53700"/>
    <s v="C"/>
    <n v="1463"/>
    <s v="Health"/>
    <n v="1"/>
    <n v="1"/>
    <s v="Leadership Training"/>
    <x v="0"/>
    <s v="Certified Professional"/>
  </r>
  <r>
    <n v="9116"/>
    <s v="Gary Garcia"/>
    <x v="1"/>
    <n v="27"/>
    <x v="1"/>
    <x v="1"/>
    <x v="1"/>
    <x v="1"/>
    <s v="Ashley Simmons MD"/>
    <d v="2022-12-20T00:00:00"/>
    <x v="0"/>
    <x v="1"/>
    <n v="91091"/>
    <s v="B"/>
    <n v="1024"/>
    <s v="None"/>
    <n v="19"/>
    <n v="4"/>
    <s v="Excel Workshop"/>
    <x v="0"/>
    <s v="Certified Professional"/>
  </r>
  <r>
    <n v="5120"/>
    <s v="Jeremy Nguyen"/>
    <x v="1"/>
    <n v="34"/>
    <x v="1"/>
    <x v="2"/>
    <x v="2"/>
    <x v="2"/>
    <s v="Cassandra Duncan"/>
    <d v="2022-08-10T00:00:00"/>
    <x v="0"/>
    <x v="2"/>
    <n v="57538"/>
    <s v="D"/>
    <n v="1674"/>
    <s v="None"/>
    <n v="8"/>
    <n v="1"/>
    <s v="None"/>
    <x v="1"/>
    <s v="Advanced Training"/>
  </r>
  <r>
    <n v="8071"/>
    <s v="Kimberly Jones"/>
    <x v="0"/>
    <n v="41"/>
    <x v="2"/>
    <x v="2"/>
    <x v="0"/>
    <x v="3"/>
    <s v="Janet Harris"/>
    <d v="2024-09-03T00:00:00"/>
    <x v="1"/>
    <x v="0"/>
    <n v="62993"/>
    <s v="A"/>
    <n v="2695"/>
    <s v="Health + Dental"/>
    <n v="0"/>
    <n v="2"/>
    <s v="None"/>
    <x v="2"/>
    <s v="None"/>
  </r>
  <r>
    <n v="9351"/>
    <s v="Anthony Gates"/>
    <x v="1"/>
    <n v="56"/>
    <x v="3"/>
    <x v="0"/>
    <x v="0"/>
    <x v="2"/>
    <s v="Mr. Frank Clay"/>
    <d v="2019-03-14T00:00:00"/>
    <x v="1"/>
    <x v="1"/>
    <n v="45773"/>
    <s v="A"/>
    <n v="8776"/>
    <s v="Health"/>
    <n v="16"/>
    <n v="4"/>
    <s v="Leadership Training"/>
    <x v="2"/>
    <s v="None"/>
  </r>
  <r>
    <n v="2873"/>
    <s v="Courtney Foster"/>
    <x v="0"/>
    <n v="28"/>
    <x v="1"/>
    <x v="2"/>
    <x v="3"/>
    <x v="2"/>
    <s v="Dorothy Price"/>
    <d v="2017-01-23T00:00:00"/>
    <x v="0"/>
    <x v="1"/>
    <n v="96249"/>
    <s v="C"/>
    <n v="4826"/>
    <s v="Health + Dental"/>
    <n v="7"/>
    <n v="3"/>
    <s v="Leadership Training"/>
    <x v="3"/>
    <s v="Certified Professional"/>
  </r>
  <r>
    <n v="3540"/>
    <s v="Catherine Hall"/>
    <x v="0"/>
    <n v="20"/>
    <x v="0"/>
    <x v="1"/>
    <x v="2"/>
    <x v="2"/>
    <s v="Michele Sexton"/>
    <d v="2024-08-17T00:00:00"/>
    <x v="0"/>
    <x v="2"/>
    <n v="61596"/>
    <s v="C"/>
    <n v="8818"/>
    <s v="Health + Dental"/>
    <n v="4"/>
    <n v="2"/>
    <s v="Leadership Training"/>
    <x v="1"/>
    <s v="None"/>
  </r>
  <r>
    <n v="3653"/>
    <s v="Deanna Ball"/>
    <x v="0"/>
    <n v="58"/>
    <x v="3"/>
    <x v="3"/>
    <x v="1"/>
    <x v="4"/>
    <s v="Richard Schmidt"/>
    <d v="2014-12-09T00:00:00"/>
    <x v="0"/>
    <x v="2"/>
    <n v="97869"/>
    <s v="A"/>
    <n v="1966"/>
    <s v="Health"/>
    <n v="10"/>
    <n v="1"/>
    <s v="Leadership Training"/>
    <x v="0"/>
    <s v="Certified Professional"/>
  </r>
  <r>
    <n v="5587"/>
    <s v="Candace Nelson"/>
    <x v="0"/>
    <n v="44"/>
    <x v="2"/>
    <x v="3"/>
    <x v="2"/>
    <x v="2"/>
    <s v="Teresa Pearson"/>
    <d v="2021-06-28T00:00:00"/>
    <x v="0"/>
    <x v="0"/>
    <n v="81235"/>
    <s v="A"/>
    <n v="6553"/>
    <s v="None"/>
    <n v="16"/>
    <n v="2"/>
    <s v="None"/>
    <x v="1"/>
    <s v="Certified Professional"/>
  </r>
  <r>
    <n v="9554"/>
    <s v="Mandy Davis"/>
    <x v="0"/>
    <n v="29"/>
    <x v="1"/>
    <x v="1"/>
    <x v="2"/>
    <x v="3"/>
    <s v="Laura Hart"/>
    <d v="2018-05-20T00:00:00"/>
    <x v="0"/>
    <x v="1"/>
    <n v="87852"/>
    <s v="A"/>
    <n v="4980"/>
    <s v="Health + Dental"/>
    <n v="19"/>
    <n v="3"/>
    <s v="None"/>
    <x v="2"/>
    <s v="Certified Professional"/>
  </r>
  <r>
    <n v="6213"/>
    <s v="Matthew Powell"/>
    <x v="1"/>
    <n v="23"/>
    <x v="0"/>
    <x v="3"/>
    <x v="0"/>
    <x v="2"/>
    <s v="Andrea May"/>
    <d v="2017-02-13T00:00:00"/>
    <x v="1"/>
    <x v="1"/>
    <n v="59359"/>
    <s v="A"/>
    <n v="9449"/>
    <s v="Health + Dental"/>
    <n v="20"/>
    <n v="3"/>
    <s v="None"/>
    <x v="1"/>
    <s v="None"/>
  </r>
  <r>
    <n v="9105"/>
    <s v="Bruce Nelson"/>
    <x v="1"/>
    <n v="30"/>
    <x v="1"/>
    <x v="0"/>
    <x v="1"/>
    <x v="0"/>
    <s v="Casey Martin"/>
    <d v="2024-05-05T00:00:00"/>
    <x v="1"/>
    <x v="2"/>
    <n v="81225"/>
    <s v="D"/>
    <n v="6202"/>
    <s v="Health + Dental"/>
    <n v="2"/>
    <n v="2"/>
    <s v="Excel Workshop"/>
    <x v="4"/>
    <s v="Certified Professional"/>
  </r>
  <r>
    <n v="9508"/>
    <s v="Dawn Cole"/>
    <x v="0"/>
    <n v="49"/>
    <x v="4"/>
    <x v="1"/>
    <x v="0"/>
    <x v="0"/>
    <s v="Amber Allen"/>
    <d v="2022-04-19T00:00:00"/>
    <x v="1"/>
    <x v="0"/>
    <n v="32788"/>
    <s v="D"/>
    <n v="4396"/>
    <s v="Health"/>
    <n v="13"/>
    <n v="5"/>
    <s v="None"/>
    <x v="3"/>
    <s v="Advanced Training"/>
  </r>
  <r>
    <n v="2436"/>
    <s v="Tanner Morse"/>
    <x v="1"/>
    <n v="60"/>
    <x v="3"/>
    <x v="4"/>
    <x v="0"/>
    <x v="3"/>
    <s v="Adam Johnson"/>
    <d v="2015-11-16T00:00:00"/>
    <x v="1"/>
    <x v="2"/>
    <n v="70452"/>
    <s v="D"/>
    <n v="9911"/>
    <s v="None"/>
    <n v="2"/>
    <n v="1"/>
    <s v="None"/>
    <x v="3"/>
    <s v="Certified Professional"/>
  </r>
  <r>
    <n v="4441"/>
    <s v="Jose Griffin"/>
    <x v="1"/>
    <n v="46"/>
    <x v="4"/>
    <x v="1"/>
    <x v="3"/>
    <x v="0"/>
    <s v="Nicole Dominguez"/>
    <d v="2023-09-09T00:00:00"/>
    <x v="0"/>
    <x v="1"/>
    <n v="33045"/>
    <s v="B"/>
    <n v="1456"/>
    <s v="None"/>
    <n v="16"/>
    <n v="3"/>
    <s v="Excel Workshop"/>
    <x v="3"/>
    <s v="None"/>
  </r>
  <r>
    <n v="5827"/>
    <s v="Daniel Hawkins"/>
    <x v="1"/>
    <n v="57"/>
    <x v="3"/>
    <x v="2"/>
    <x v="3"/>
    <x v="1"/>
    <s v="Andrew Best"/>
    <d v="2017-12-12T00:00:00"/>
    <x v="2"/>
    <x v="2"/>
    <n v="96429"/>
    <s v="C"/>
    <n v="4740"/>
    <s v="None"/>
    <n v="8"/>
    <n v="1"/>
    <s v="Excel Workshop"/>
    <x v="2"/>
    <s v="None"/>
  </r>
  <r>
    <n v="5184"/>
    <s v="Elaine Mcclain"/>
    <x v="0"/>
    <n v="24"/>
    <x v="0"/>
    <x v="1"/>
    <x v="2"/>
    <x v="2"/>
    <s v="Gabrielle Rodriguez"/>
    <d v="2017-03-10T00:00:00"/>
    <x v="2"/>
    <x v="2"/>
    <n v="33183"/>
    <s v="A"/>
    <n v="8114"/>
    <s v="None"/>
    <n v="4"/>
    <n v="2"/>
    <s v="Excel Workshop"/>
    <x v="4"/>
    <s v="Advanced Training"/>
  </r>
  <r>
    <n v="5874"/>
    <s v="Kimberly Jones"/>
    <x v="0"/>
    <n v="35"/>
    <x v="1"/>
    <x v="4"/>
    <x v="3"/>
    <x v="0"/>
    <s v="Allison Harvey"/>
    <d v="2019-03-04T00:00:00"/>
    <x v="2"/>
    <x v="0"/>
    <n v="75065"/>
    <s v="C"/>
    <n v="7123"/>
    <s v="None"/>
    <n v="20"/>
    <n v="2"/>
    <s v="None"/>
    <x v="0"/>
    <s v="Advanced Training"/>
  </r>
  <r>
    <n v="9834"/>
    <s v="Thomas Kramer"/>
    <x v="1"/>
    <n v="41"/>
    <x v="2"/>
    <x v="1"/>
    <x v="1"/>
    <x v="4"/>
    <s v="Tristan Mejia"/>
    <d v="2022-11-20T00:00:00"/>
    <x v="0"/>
    <x v="2"/>
    <n v="32877"/>
    <s v="C"/>
    <n v="6432"/>
    <s v="Health"/>
    <n v="11"/>
    <n v="1"/>
    <s v="None"/>
    <x v="0"/>
    <s v="None"/>
  </r>
  <r>
    <n v="5096"/>
    <s v="Kevin Whitaker"/>
    <x v="1"/>
    <n v="36"/>
    <x v="2"/>
    <x v="1"/>
    <x v="4"/>
    <x v="3"/>
    <s v="Mary Welch"/>
    <d v="2021-03-02T00:00:00"/>
    <x v="0"/>
    <x v="1"/>
    <n v="46811"/>
    <s v="D"/>
    <n v="1567"/>
    <s v="None"/>
    <n v="7"/>
    <n v="3"/>
    <s v="Excel Workshop"/>
    <x v="0"/>
    <s v="Advanced Training"/>
  </r>
  <r>
    <n v="2263"/>
    <s v="Dustin Carter"/>
    <x v="1"/>
    <n v="31"/>
    <x v="1"/>
    <x v="3"/>
    <x v="2"/>
    <x v="1"/>
    <s v="Douglas Miles"/>
    <d v="2021-08-01T00:00:00"/>
    <x v="1"/>
    <x v="1"/>
    <n v="87538"/>
    <s v="C"/>
    <n v="3588"/>
    <s v="Health + Dental"/>
    <n v="11"/>
    <n v="5"/>
    <s v="Excel Workshop"/>
    <x v="2"/>
    <s v="None"/>
  </r>
  <r>
    <n v="6505"/>
    <s v="Nicole Williamson"/>
    <x v="0"/>
    <n v="28"/>
    <x v="1"/>
    <x v="0"/>
    <x v="1"/>
    <x v="4"/>
    <s v="Jessica Fleming"/>
    <d v="2015-08-14T00:00:00"/>
    <x v="0"/>
    <x v="1"/>
    <n v="73002"/>
    <s v="C"/>
    <n v="6296"/>
    <s v="Health"/>
    <n v="2"/>
    <n v="5"/>
    <s v="Excel Workshop"/>
    <x v="1"/>
    <s v="Certified Professional"/>
  </r>
  <r>
    <n v="8626"/>
    <s v="Matthew Knight"/>
    <x v="1"/>
    <n v="37"/>
    <x v="2"/>
    <x v="3"/>
    <x v="1"/>
    <x v="3"/>
    <s v="Christine Lee"/>
    <d v="2015-10-21T00:00:00"/>
    <x v="2"/>
    <x v="2"/>
    <n v="41653"/>
    <s v="D"/>
    <n v="9236"/>
    <s v="None"/>
    <n v="13"/>
    <n v="1"/>
    <s v="Excel Workshop"/>
    <x v="0"/>
    <s v="None"/>
  </r>
  <r>
    <n v="5979"/>
    <s v="Donna Jones"/>
    <x v="0"/>
    <n v="31"/>
    <x v="1"/>
    <x v="0"/>
    <x v="0"/>
    <x v="2"/>
    <s v="Mario Smith DVM"/>
    <d v="2015-03-14T00:00:00"/>
    <x v="1"/>
    <x v="1"/>
    <n v="67582"/>
    <s v="A"/>
    <n v="1375"/>
    <s v="Health"/>
    <n v="20"/>
    <n v="3"/>
    <s v="Excel Workshop"/>
    <x v="1"/>
    <s v="None"/>
  </r>
  <r>
    <n v="3104"/>
    <s v="Carolyn Bullock"/>
    <x v="0"/>
    <n v="23"/>
    <x v="0"/>
    <x v="3"/>
    <x v="1"/>
    <x v="1"/>
    <s v="Joseph Francis"/>
    <d v="2024-05-22T00:00:00"/>
    <x v="2"/>
    <x v="1"/>
    <n v="37351"/>
    <s v="D"/>
    <n v="7858"/>
    <s v="Health + Dental"/>
    <n v="18"/>
    <n v="2"/>
    <s v="Leadership Training"/>
    <x v="1"/>
    <s v="Advanced Training"/>
  </r>
  <r>
    <n v="8967"/>
    <s v="Wendy Gomez"/>
    <x v="0"/>
    <n v="48"/>
    <x v="4"/>
    <x v="4"/>
    <x v="2"/>
    <x v="0"/>
    <s v="Sarah Young"/>
    <d v="2017-03-19T00:00:00"/>
    <x v="0"/>
    <x v="1"/>
    <n v="36721"/>
    <s v="B"/>
    <n v="8820"/>
    <s v="Health + Dental"/>
    <n v="0"/>
    <n v="2"/>
    <s v="Excel Workshop"/>
    <x v="1"/>
    <s v="Certified Professional"/>
  </r>
  <r>
    <n v="5087"/>
    <s v="Michael Thomas"/>
    <x v="1"/>
    <n v="28"/>
    <x v="1"/>
    <x v="2"/>
    <x v="4"/>
    <x v="0"/>
    <s v="Aaron Hart"/>
    <d v="2021-09-15T00:00:00"/>
    <x v="1"/>
    <x v="2"/>
    <n v="46326"/>
    <s v="B"/>
    <n v="9189"/>
    <s v="Health + Dental"/>
    <n v="8"/>
    <n v="4"/>
    <s v="Leadership Training"/>
    <x v="3"/>
    <s v="Advanced Training"/>
  </r>
  <r>
    <n v="3358"/>
    <s v="Kevin Bell"/>
    <x v="1"/>
    <n v="30"/>
    <x v="1"/>
    <x v="1"/>
    <x v="3"/>
    <x v="1"/>
    <s v="Brian Boyd"/>
    <d v="2022-05-09T00:00:00"/>
    <x v="0"/>
    <x v="0"/>
    <n v="59007"/>
    <s v="C"/>
    <n v="3380"/>
    <s v="Health"/>
    <n v="17"/>
    <n v="3"/>
    <s v="None"/>
    <x v="4"/>
    <s v="Certified Professional"/>
  </r>
  <r>
    <n v="8256"/>
    <s v="Richard Landry"/>
    <x v="1"/>
    <n v="46"/>
    <x v="4"/>
    <x v="3"/>
    <x v="0"/>
    <x v="3"/>
    <s v="Steven Krueger"/>
    <d v="2017-06-22T00:00:00"/>
    <x v="0"/>
    <x v="1"/>
    <n v="52020"/>
    <s v="B"/>
    <n v="9585"/>
    <s v="Health + Dental"/>
    <n v="0"/>
    <n v="4"/>
    <s v="Excel Workshop"/>
    <x v="4"/>
    <s v="None"/>
  </r>
  <r>
    <n v="5763"/>
    <s v="George Hurley"/>
    <x v="1"/>
    <n v="44"/>
    <x v="2"/>
    <x v="1"/>
    <x v="2"/>
    <x v="1"/>
    <s v="Debra Williams"/>
    <d v="2020-11-28T00:00:00"/>
    <x v="2"/>
    <x v="1"/>
    <n v="98961"/>
    <s v="D"/>
    <n v="2688"/>
    <s v="Health"/>
    <n v="2"/>
    <n v="5"/>
    <s v="Excel Workshop"/>
    <x v="4"/>
    <s v="Certified Professional"/>
  </r>
  <r>
    <n v="6838"/>
    <s v="Mark Lopez"/>
    <x v="1"/>
    <n v="45"/>
    <x v="2"/>
    <x v="2"/>
    <x v="3"/>
    <x v="2"/>
    <s v="Karen Mitchell"/>
    <d v="2015-08-30T00:00:00"/>
    <x v="2"/>
    <x v="1"/>
    <n v="81943"/>
    <s v="C"/>
    <n v="2255"/>
    <s v="Health"/>
    <n v="18"/>
    <n v="2"/>
    <s v="None"/>
    <x v="2"/>
    <s v="Certified Professional"/>
  </r>
  <r>
    <n v="9544"/>
    <s v="Robert Williams"/>
    <x v="1"/>
    <n v="52"/>
    <x v="4"/>
    <x v="4"/>
    <x v="2"/>
    <x v="1"/>
    <s v="Joseph Sanders"/>
    <d v="2018-10-27T00:00:00"/>
    <x v="2"/>
    <x v="1"/>
    <n v="47627"/>
    <s v="C"/>
    <n v="1221"/>
    <s v="None"/>
    <n v="4"/>
    <n v="3"/>
    <s v="None"/>
    <x v="1"/>
    <s v="None"/>
  </r>
  <r>
    <n v="8012"/>
    <s v="Mary Schmidt"/>
    <x v="0"/>
    <n v="52"/>
    <x v="4"/>
    <x v="0"/>
    <x v="0"/>
    <x v="4"/>
    <s v="Shelly George"/>
    <d v="2018-08-26T00:00:00"/>
    <x v="2"/>
    <x v="1"/>
    <n v="56162"/>
    <s v="D"/>
    <n v="6560"/>
    <s v="Health + Dental"/>
    <n v="9"/>
    <n v="4"/>
    <s v="Excel Workshop"/>
    <x v="3"/>
    <s v="None"/>
  </r>
  <r>
    <n v="9374"/>
    <s v="Mary Martinez"/>
    <x v="0"/>
    <n v="42"/>
    <x v="2"/>
    <x v="1"/>
    <x v="2"/>
    <x v="2"/>
    <s v="Nicole Houston"/>
    <d v="2023-07-24T00:00:00"/>
    <x v="1"/>
    <x v="2"/>
    <n v="95734"/>
    <s v="C"/>
    <n v="4854"/>
    <s v="Health"/>
    <n v="13"/>
    <n v="2"/>
    <s v="Leadership Training"/>
    <x v="0"/>
    <s v="Certified Professional"/>
  </r>
  <r>
    <n v="3487"/>
    <s v="Paul Hall"/>
    <x v="1"/>
    <n v="58"/>
    <x v="3"/>
    <x v="1"/>
    <x v="1"/>
    <x v="3"/>
    <s v="Kristin Shaffer"/>
    <d v="2018-07-09T00:00:00"/>
    <x v="1"/>
    <x v="2"/>
    <n v="74789"/>
    <s v="C"/>
    <n v="8101"/>
    <s v="Health + Dental"/>
    <n v="14"/>
    <n v="5"/>
    <s v="Excel Workshop"/>
    <x v="2"/>
    <s v="None"/>
  </r>
  <r>
    <n v="8445"/>
    <s v="Samantha Foster"/>
    <x v="0"/>
    <n v="24"/>
    <x v="0"/>
    <x v="4"/>
    <x v="0"/>
    <x v="3"/>
    <s v="Joel Aguilar"/>
    <d v="2016-12-21T00:00:00"/>
    <x v="0"/>
    <x v="2"/>
    <n v="30137"/>
    <s v="B"/>
    <n v="4031"/>
    <s v="None"/>
    <n v="5"/>
    <n v="3"/>
    <s v="None"/>
    <x v="1"/>
    <s v="Certified Professional"/>
  </r>
  <r>
    <n v="1550"/>
    <s v="Timothy Aguilar"/>
    <x v="1"/>
    <n v="21"/>
    <x v="0"/>
    <x v="1"/>
    <x v="0"/>
    <x v="0"/>
    <s v="Michael Wade"/>
    <d v="2019-06-27T00:00:00"/>
    <x v="0"/>
    <x v="2"/>
    <n v="95510"/>
    <s v="C"/>
    <n v="6811"/>
    <s v="Health"/>
    <n v="18"/>
    <n v="4"/>
    <s v="Excel Workshop"/>
    <x v="4"/>
    <s v="Certified Professional"/>
  </r>
  <r>
    <n v="9968"/>
    <s v="Charles Andrews"/>
    <x v="1"/>
    <n v="58"/>
    <x v="3"/>
    <x v="1"/>
    <x v="3"/>
    <x v="0"/>
    <s v="Jessica Walsh"/>
    <d v="2021-08-27T00:00:00"/>
    <x v="1"/>
    <x v="0"/>
    <n v="80325"/>
    <s v="B"/>
    <n v="6230"/>
    <s v="Health"/>
    <n v="5"/>
    <n v="4"/>
    <s v="None"/>
    <x v="2"/>
    <s v="Advanced Training"/>
  </r>
  <r>
    <n v="8029"/>
    <s v="Veronica Nelson"/>
    <x v="0"/>
    <n v="57"/>
    <x v="3"/>
    <x v="3"/>
    <x v="4"/>
    <x v="4"/>
    <s v="Kelly Mack"/>
    <d v="2017-05-28T00:00:00"/>
    <x v="2"/>
    <x v="1"/>
    <n v="34109"/>
    <s v="B"/>
    <n v="9232"/>
    <s v="Health"/>
    <n v="13"/>
    <n v="3"/>
    <s v="Leadership Training"/>
    <x v="0"/>
    <s v="Certified Professional"/>
  </r>
  <r>
    <n v="8847"/>
    <s v="Chris Sanchez"/>
    <x v="1"/>
    <n v="41"/>
    <x v="2"/>
    <x v="3"/>
    <x v="3"/>
    <x v="0"/>
    <s v="John Conley"/>
    <d v="2022-01-30T00:00:00"/>
    <x v="2"/>
    <x v="2"/>
    <n v="73330"/>
    <s v="C"/>
    <n v="2276"/>
    <s v="Health + Dental"/>
    <n v="5"/>
    <n v="1"/>
    <s v="None"/>
    <x v="1"/>
    <s v="Advanced Training"/>
  </r>
  <r>
    <n v="1955"/>
    <s v="Cassie Galvan"/>
    <x v="0"/>
    <n v="58"/>
    <x v="3"/>
    <x v="2"/>
    <x v="2"/>
    <x v="1"/>
    <s v="Aaron Baker"/>
    <d v="2017-04-20T00:00:00"/>
    <x v="1"/>
    <x v="2"/>
    <n v="46567"/>
    <s v="A"/>
    <n v="2825"/>
    <s v="Health"/>
    <n v="15"/>
    <n v="3"/>
    <s v="None"/>
    <x v="4"/>
    <s v="Advanced Training"/>
  </r>
  <r>
    <n v="4522"/>
    <s v="Jessica Jones"/>
    <x v="0"/>
    <n v="36"/>
    <x v="2"/>
    <x v="0"/>
    <x v="4"/>
    <x v="0"/>
    <s v="Christopher Bass"/>
    <d v="2019-07-22T00:00:00"/>
    <x v="1"/>
    <x v="1"/>
    <n v="39795"/>
    <s v="A"/>
    <n v="1670"/>
    <s v="None"/>
    <n v="0"/>
    <n v="2"/>
    <s v="Excel Workshop"/>
    <x v="3"/>
    <s v="None"/>
  </r>
  <r>
    <n v="3078"/>
    <s v="Emily Walker"/>
    <x v="0"/>
    <n v="21"/>
    <x v="0"/>
    <x v="0"/>
    <x v="0"/>
    <x v="4"/>
    <s v="Sean Tucker PhD"/>
    <d v="2018-11-29T00:00:00"/>
    <x v="1"/>
    <x v="2"/>
    <n v="59506"/>
    <s v="A"/>
    <n v="4428"/>
    <s v="Health + Dental"/>
    <n v="0"/>
    <n v="1"/>
    <s v="None"/>
    <x v="3"/>
    <s v="Certified Professional"/>
  </r>
  <r>
    <n v="6357"/>
    <s v="Vickie Lewis"/>
    <x v="0"/>
    <n v="46"/>
    <x v="4"/>
    <x v="2"/>
    <x v="1"/>
    <x v="4"/>
    <s v="Jacob Scott"/>
    <d v="2022-11-14T00:00:00"/>
    <x v="1"/>
    <x v="2"/>
    <n v="49058"/>
    <s v="B"/>
    <n v="4396"/>
    <s v="None"/>
    <n v="5"/>
    <n v="1"/>
    <s v="None"/>
    <x v="3"/>
    <s v="None"/>
  </r>
  <r>
    <n v="7951"/>
    <s v="Alexis Clark"/>
    <x v="0"/>
    <n v="36"/>
    <x v="2"/>
    <x v="3"/>
    <x v="2"/>
    <x v="4"/>
    <s v="Joel Park"/>
    <d v="2016-02-23T00:00:00"/>
    <x v="1"/>
    <x v="0"/>
    <n v="98612"/>
    <s v="A"/>
    <n v="1168"/>
    <s v="None"/>
    <n v="9"/>
    <n v="2"/>
    <s v="Excel Workshop"/>
    <x v="0"/>
    <s v="Certified Professional"/>
  </r>
  <r>
    <n v="9228"/>
    <s v="Robert Davis"/>
    <x v="1"/>
    <n v="41"/>
    <x v="2"/>
    <x v="4"/>
    <x v="3"/>
    <x v="1"/>
    <s v="Russell Marshall"/>
    <d v="2018-05-18T00:00:00"/>
    <x v="2"/>
    <x v="1"/>
    <n v="38201"/>
    <s v="A"/>
    <n v="7111"/>
    <s v="Health"/>
    <n v="8"/>
    <n v="4"/>
    <s v="Leadership Training"/>
    <x v="3"/>
    <s v="None"/>
  </r>
  <r>
    <n v="8988"/>
    <s v="Daniel Brown MD"/>
    <x v="1"/>
    <n v="25"/>
    <x v="0"/>
    <x v="0"/>
    <x v="2"/>
    <x v="2"/>
    <s v="James Holden"/>
    <d v="2024-03-09T00:00:00"/>
    <x v="2"/>
    <x v="1"/>
    <n v="92919"/>
    <s v="D"/>
    <n v="9497"/>
    <s v="Health"/>
    <n v="7"/>
    <n v="2"/>
    <s v="None"/>
    <x v="3"/>
    <s v="Advanced Training"/>
  </r>
  <r>
    <n v="1952"/>
    <s v="Anna Payne"/>
    <x v="0"/>
    <n v="29"/>
    <x v="1"/>
    <x v="4"/>
    <x v="0"/>
    <x v="1"/>
    <s v="Thomas Murphy"/>
    <d v="2024-03-27T00:00:00"/>
    <x v="0"/>
    <x v="2"/>
    <n v="45188"/>
    <s v="A"/>
    <n v="9591"/>
    <s v="Health + Dental"/>
    <n v="18"/>
    <n v="3"/>
    <s v="Leadership Training"/>
    <x v="3"/>
    <s v="None"/>
  </r>
  <r>
    <n v="5760"/>
    <s v="Rhonda Pena"/>
    <x v="0"/>
    <n v="59"/>
    <x v="3"/>
    <x v="2"/>
    <x v="1"/>
    <x v="0"/>
    <s v="Mark Abbott"/>
    <d v="2019-12-23T00:00:00"/>
    <x v="0"/>
    <x v="1"/>
    <n v="34927"/>
    <s v="D"/>
    <n v="6996"/>
    <s v="Health + Dental"/>
    <n v="16"/>
    <n v="1"/>
    <s v="Excel Workshop"/>
    <x v="0"/>
    <s v="Certified Professional"/>
  </r>
  <r>
    <n v="5742"/>
    <s v="Nicole Gonzalez"/>
    <x v="0"/>
    <n v="27"/>
    <x v="1"/>
    <x v="0"/>
    <x v="2"/>
    <x v="3"/>
    <s v="Robin Lynch"/>
    <d v="2016-08-25T00:00:00"/>
    <x v="0"/>
    <x v="1"/>
    <n v="33183"/>
    <s v="A"/>
    <n v="1659"/>
    <s v="None"/>
    <n v="11"/>
    <n v="1"/>
    <s v="Leadership Training"/>
    <x v="2"/>
    <s v="No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F0736A-CA8D-49A7-BA80-37F9E3EBC684}" name="PivotTable11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5">
  <location ref="AE3:AF9" firstHeaderRow="1" firstDataRow="1" firstDataCol="1"/>
  <pivotFields count="21">
    <pivotField showAll="0"/>
    <pivotField dataField="1" showAll="0"/>
    <pivotField showAll="0"/>
    <pivotField showAll="0"/>
    <pivotField showAll="0"/>
    <pivotField axis="axisRow" showAll="0">
      <items count="6">
        <item x="1"/>
        <item x="0"/>
        <item x="4"/>
        <item x="3"/>
        <item x="2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Full Name" fld="1" subtotal="count" baseField="0" baseItem="0"/>
  </dataFields>
  <chartFormats count="3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74C504-461B-41F6-BA07-425578994ED3}" name="PivotTable10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7">
  <location ref="AB3:AC9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Leave Taken" fld="16" baseField="0" baseItem="0"/>
  </dataFields>
  <chartFormats count="1"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F8D7A-E069-4D76-AD4E-4FEEF4FD5EF7}" name="PivotTable6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W3:X6" firstHeaderRow="1" firstDataRow="1" firstDataCol="1"/>
  <pivotFields count="21">
    <pivotField showAll="0"/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Full Name" fld="1" subtotal="count" baseField="0" baseItem="0"/>
  </dataFields>
  <chartFormats count="3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D893D6-91D6-4F0A-8C1B-6AD76A43D665}" name="PivotTable3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T3:U9" firstHeaderRow="1" firstDataRow="1" firstDataCol="1"/>
  <pivotFields count="21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0"/>
        <item x="4"/>
        <item x="1"/>
        <item x="2"/>
        <item t="default"/>
      </items>
    </pivotField>
    <pivotField showAll="0"/>
  </pivotFields>
  <rowFields count="1">
    <field x="1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Full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9D8F0E-1C09-412D-B839-AAB2BAB4CF13}" name="PivotTable1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C3:D7" firstHeaderRow="1" firstDataRow="1" firstDataCol="1"/>
  <pivotFields count="21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Full Name" fld="1" subtotal="count" baseField="0" baseItem="0"/>
  </dataFields>
  <chartFormats count="4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234782-2E02-4466-BA7D-533672494F40}" name="PivotTable5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N2:O6" firstHeaderRow="1" firstDataRow="1" firstDataCol="1"/>
  <pivotFields count="21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Full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C80A5F-EE12-47D5-A80B-A3B72C5D8DB3}" name="PivotTable4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I3:L10" firstHeaderRow="1" firstDataRow="2" firstDataCol="1"/>
  <pivotFields count="21">
    <pivotField showAll="0"/>
    <pivotField dataField="1"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Full Name" fld="1" subtotal="count" baseField="0" baseItem="0"/>
  </dataFields>
  <chartFormats count="2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0FD620-1986-4EB3-8716-4A8E973F772C}" name="PivotTable2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3">
  <location ref="F3:G9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ary" fld="12" baseField="0" baseItem="0"/>
  </dataFields>
  <chartFormats count="2"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A82F158-D85B-4E83-B886-159DC283AFAF}" autoFormatId="16" applyNumberFormats="0" applyBorderFormats="0" applyFontFormats="0" applyPatternFormats="0" applyAlignmentFormats="0" applyWidthHeightFormats="0">
  <queryTableRefresh nextId="22">
    <queryTableFields count="21">
      <queryTableField id="1" name="Employee ID" tableColumnId="1"/>
      <queryTableField id="2" name="Full Name" tableColumnId="2"/>
      <queryTableField id="3" name="Gender" tableColumnId="3"/>
      <queryTableField id="4" name="Age" tableColumnId="4"/>
      <queryTableField id="5" name="Age range" tableColumnId="5"/>
      <queryTableField id="6" name="Region" tableColumnId="6"/>
      <queryTableField id="7" name="Job Title" tableColumnId="7"/>
      <queryTableField id="8" name="Department" tableColumnId="8"/>
      <queryTableField id="9" name="Manager/Supervisor" tableColumnId="9"/>
      <queryTableField id="10" name="Date of Hire" tableColumnId="10"/>
      <queryTableField id="11" name="Employment Status" tableColumnId="11"/>
      <queryTableField id="12" name="Work Location" tableColumnId="12"/>
      <queryTableField id="13" name="Salary" tableColumnId="13"/>
      <queryTableField id="14" name="Pay Grade" tableColumnId="14"/>
      <queryTableField id="15" name="Bonus/Allowances" tableColumnId="15"/>
      <queryTableField id="16" name="Insurance Details" tableColumnId="16"/>
      <queryTableField id="17" name="Leave Taken" tableColumnId="17"/>
      <queryTableField id="18" name="Performance Rating" tableColumnId="18"/>
      <queryTableField id="19" name="Training Programs Attended" tableColumnId="19"/>
      <queryTableField id="20" name="Skills" tableColumnId="20"/>
      <queryTableField id="21" name="Certifications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A12F4C1-C4BF-4AD0-B315-038C102E4939}" autoFormatId="16" applyNumberFormats="0" applyBorderFormats="0" applyFontFormats="0" applyPatternFormats="0" applyAlignmentFormats="0" applyWidthHeightFormats="0">
  <queryTableRefresh nextId="22">
    <queryTableFields count="21">
      <queryTableField id="1" name="Employee ID" tableColumnId="1"/>
      <queryTableField id="2" name="Full Name" tableColumnId="2"/>
      <queryTableField id="3" name="Gender" tableColumnId="3"/>
      <queryTableField id="4" name="Age" tableColumnId="4"/>
      <queryTableField id="5" name="Age range" tableColumnId="5"/>
      <queryTableField id="6" name="Region" tableColumnId="6"/>
      <queryTableField id="7" name="Job Title" tableColumnId="7"/>
      <queryTableField id="8" name="Department" tableColumnId="8"/>
      <queryTableField id="9" name="Manager/Supervisor" tableColumnId="9"/>
      <queryTableField id="10" name="Date of Hire" tableColumnId="10"/>
      <queryTableField id="11" name="Employment Status" tableColumnId="11"/>
      <queryTableField id="12" name="Work Location" tableColumnId="12"/>
      <queryTableField id="13" name="Salary" tableColumnId="13"/>
      <queryTableField id="14" name="Pay Grade" tableColumnId="14"/>
      <queryTableField id="15" name="Bonus/Allowances" tableColumnId="15"/>
      <queryTableField id="16" name="Insurance Details" tableColumnId="16"/>
      <queryTableField id="17" name="Leave Taken" tableColumnId="17"/>
      <queryTableField id="18" name="Performance Rating" tableColumnId="18"/>
      <queryTableField id="19" name="Training Programs Attended" tableColumnId="19"/>
      <queryTableField id="20" name="Skills" tableColumnId="20"/>
      <queryTableField id="21" name="Certifications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BD2E4B-2682-4717-BB59-CAE4B70502D8}" name="Table1" displayName="Table1" ref="A1:U51" tableType="queryTable" totalsRowShown="0">
  <autoFilter ref="A1:U51" xr:uid="{B6BD2E4B-2682-4717-BB59-CAE4B70502D8}"/>
  <tableColumns count="21">
    <tableColumn id="1" xr3:uid="{3BE73E59-B4DD-48FC-A1D0-29A13B415BAB}" uniqueName="1" name="Employee ID" queryTableFieldId="1"/>
    <tableColumn id="2" xr3:uid="{C828694D-C681-4841-8462-013A0002D146}" uniqueName="2" name="Full Name" queryTableFieldId="2" dataDxfId="29"/>
    <tableColumn id="3" xr3:uid="{5BD80637-BC2A-423D-86B4-5F561720935E}" uniqueName="3" name="Gender" queryTableFieldId="3" dataDxfId="28"/>
    <tableColumn id="4" xr3:uid="{B4CE61F9-AF85-489B-AE9B-C46AF119CFC9}" uniqueName="4" name="Age" queryTableFieldId="4"/>
    <tableColumn id="5" xr3:uid="{CC493754-F448-4D47-889F-B264E09B7134}" uniqueName="5" name="Age range" queryTableFieldId="5" dataDxfId="27"/>
    <tableColumn id="6" xr3:uid="{267943DA-AABA-4CA0-A3C7-FB66446C6F51}" uniqueName="6" name="Region" queryTableFieldId="6" dataDxfId="26"/>
    <tableColumn id="7" xr3:uid="{83E7AC4A-1733-43DA-BD4A-F658B297F186}" uniqueName="7" name="Job Title" queryTableFieldId="7" dataDxfId="25"/>
    <tableColumn id="8" xr3:uid="{84B976D8-6D7B-46D4-B06F-4BC33E929147}" uniqueName="8" name="Department" queryTableFieldId="8" dataDxfId="24"/>
    <tableColumn id="9" xr3:uid="{1054EEDC-E44A-47DB-9FA3-281F23698B7A}" uniqueName="9" name="Manager/Supervisor" queryTableFieldId="9" dataDxfId="23"/>
    <tableColumn id="10" xr3:uid="{FEE45B0D-EEA9-4486-B939-2A92CA8D05C7}" uniqueName="10" name="Date of Hire" queryTableFieldId="10" dataDxfId="22"/>
    <tableColumn id="11" xr3:uid="{9BCE4E2B-8029-44C7-9023-F433C0BACFBC}" uniqueName="11" name="Employment Status" queryTableFieldId="11" dataDxfId="21"/>
    <tableColumn id="12" xr3:uid="{690484FD-68B8-4A95-A926-2280E4111F0B}" uniqueName="12" name="Work Location" queryTableFieldId="12" dataDxfId="20"/>
    <tableColumn id="13" xr3:uid="{7563D70C-30D3-4B61-B82A-2A554350B883}" uniqueName="13" name="Salary" queryTableFieldId="13"/>
    <tableColumn id="14" xr3:uid="{D9861999-AFDA-44AF-8D95-FC32BDDAD533}" uniqueName="14" name="Pay Grade" queryTableFieldId="14" dataDxfId="19"/>
    <tableColumn id="15" xr3:uid="{2067039D-E75E-4418-B307-D3F16F8F85B0}" uniqueName="15" name="Bonus/Allowances" queryTableFieldId="15"/>
    <tableColumn id="16" xr3:uid="{054C9749-BFAB-469B-9F38-E0868F4F5BA6}" uniqueName="16" name="Insurance Details" queryTableFieldId="16" dataDxfId="18"/>
    <tableColumn id="17" xr3:uid="{0D76D51C-B60E-4906-BF6D-8E2E0A50C6A1}" uniqueName="17" name="Leave Taken" queryTableFieldId="17"/>
    <tableColumn id="18" xr3:uid="{EE94E533-46C9-4374-83E5-FEC9DAE1350A}" uniqueName="18" name="Performance Rating" queryTableFieldId="18"/>
    <tableColumn id="19" xr3:uid="{92267583-0ED9-4DDD-8001-CD2453376B7E}" uniqueName="19" name="Training Programs Attended" queryTableFieldId="19" dataDxfId="17"/>
    <tableColumn id="20" xr3:uid="{4BCC94A8-B702-4A3D-A53C-36E27994DAEF}" uniqueName="20" name="Skills" queryTableFieldId="20" dataDxfId="16"/>
    <tableColumn id="21" xr3:uid="{E1151D87-0840-462D-971A-FA8F8CFB913B}" uniqueName="21" name="Certifications" queryTableFieldId="21" dataDxf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07AA67-1732-4AB8-8B62-D745DED1C2BC}" name="df" displayName="df" ref="A1:U51" tableType="queryTable" totalsRowShown="0">
  <autoFilter ref="A1:U51" xr:uid="{4B07AA67-1732-4AB8-8B62-D745DED1C2BC}"/>
  <tableColumns count="21">
    <tableColumn id="1" xr3:uid="{B19C6DD8-06D4-43EA-991C-473B059382A3}" uniqueName="1" name="Employee ID" queryTableFieldId="1"/>
    <tableColumn id="2" xr3:uid="{E6A9427A-133C-4819-9D9E-1366FC6B0E01}" uniqueName="2" name="Full Name" queryTableFieldId="2" dataDxfId="14"/>
    <tableColumn id="3" xr3:uid="{8C486914-E70B-4FE1-AE0A-0415694D2A90}" uniqueName="3" name="Gender" queryTableFieldId="3" dataDxfId="13"/>
    <tableColumn id="4" xr3:uid="{31BE8CA3-76FC-4BA4-9A74-58079FDA4C06}" uniqueName="4" name="Age" queryTableFieldId="4"/>
    <tableColumn id="5" xr3:uid="{8AD885D0-0019-43C5-825E-39517144CEE4}" uniqueName="5" name="Age range" queryTableFieldId="5" dataDxfId="12"/>
    <tableColumn id="6" xr3:uid="{A6AE2109-9562-4BAE-833D-082C345CE0B8}" uniqueName="6" name="Region" queryTableFieldId="6" dataDxfId="11"/>
    <tableColumn id="7" xr3:uid="{E4BFB812-D195-43AD-A293-9D38BD3DEE1A}" uniqueName="7" name="Job Title" queryTableFieldId="7" dataDxfId="10"/>
    <tableColumn id="8" xr3:uid="{E582383D-5913-415A-A722-4D1272536DD3}" uniqueName="8" name="Department" queryTableFieldId="8" dataDxfId="9"/>
    <tableColumn id="9" xr3:uid="{4ED1EDA7-9127-4440-B938-02CAAAB1525F}" uniqueName="9" name="Manager/Supervisor" queryTableFieldId="9" dataDxfId="8"/>
    <tableColumn id="10" xr3:uid="{DB1C446B-6392-48B6-ADA9-69ED995EEA6F}" uniqueName="10" name="Date of Hire" queryTableFieldId="10" dataDxfId="7"/>
    <tableColumn id="11" xr3:uid="{9013D55E-96C1-4674-BFC0-D8BB452E4F4E}" uniqueName="11" name="Employment Status" queryTableFieldId="11" dataDxfId="6"/>
    <tableColumn id="12" xr3:uid="{100EECA7-A603-4C49-8B38-9C7C4A45FCAD}" uniqueName="12" name="Work Location" queryTableFieldId="12" dataDxfId="5"/>
    <tableColumn id="13" xr3:uid="{41BDF075-759F-4365-BF69-5071F8B764BE}" uniqueName="13" name="Salary" queryTableFieldId="13"/>
    <tableColumn id="14" xr3:uid="{04C993CA-5531-4C0B-91BB-FA4CE6745586}" uniqueName="14" name="Pay Grade" queryTableFieldId="14" dataDxfId="4"/>
    <tableColumn id="15" xr3:uid="{AF767A87-09B4-48ED-97EC-60781B3161FC}" uniqueName="15" name="Bonus/Allowances" queryTableFieldId="15"/>
    <tableColumn id="16" xr3:uid="{FC937455-C846-4B18-A944-B18B2DC3A4DC}" uniqueName="16" name="Insurance Details" queryTableFieldId="16" dataDxfId="3"/>
    <tableColumn id="17" xr3:uid="{C6C873DF-346A-431E-BF1D-2E28502FF995}" uniqueName="17" name="Leave Taken" queryTableFieldId="17"/>
    <tableColumn id="18" xr3:uid="{9716DFDF-2C8B-4F9A-8252-23FDD5048057}" uniqueName="18" name="Performance Rating" queryTableFieldId="18"/>
    <tableColumn id="19" xr3:uid="{E9992526-7D58-4052-A175-F7412EC6C013}" uniqueName="19" name="Training Programs Attended" queryTableFieldId="19" dataDxfId="2"/>
    <tableColumn id="20" xr3:uid="{C4F1E731-627E-4C3F-8B30-AB0CF41926DC}" uniqueName="20" name="Skills" queryTableFieldId="20" dataDxfId="1"/>
    <tableColumn id="21" xr3:uid="{B565099B-E843-44CC-92A2-EB0286DAFDD5}" uniqueName="21" name="Certifications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3BAB7-2394-42F6-982A-0D71C68915A7}">
  <dimension ref="A1:U51"/>
  <sheetViews>
    <sheetView tabSelected="1" workbookViewId="0"/>
  </sheetViews>
  <sheetFormatPr defaultRowHeight="15" x14ac:dyDescent="0.25"/>
  <cols>
    <col min="1" max="1" width="14.42578125" bestFit="1" customWidth="1"/>
    <col min="2" max="2" width="17.42578125" bestFit="1" customWidth="1"/>
    <col min="3" max="3" width="10" bestFit="1" customWidth="1"/>
    <col min="4" max="4" width="6.7109375" bestFit="1" customWidth="1"/>
    <col min="5" max="5" width="12.140625" bestFit="1" customWidth="1"/>
    <col min="6" max="6" width="9.42578125" bestFit="1" customWidth="1"/>
    <col min="7" max="7" width="12.28515625" bestFit="1" customWidth="1"/>
    <col min="8" max="8" width="14" bestFit="1" customWidth="1"/>
    <col min="9" max="9" width="21.7109375" bestFit="1" customWidth="1"/>
    <col min="10" max="10" width="13.85546875" bestFit="1" customWidth="1"/>
    <col min="11" max="11" width="20.7109375" bestFit="1" customWidth="1"/>
    <col min="12" max="12" width="16.140625" bestFit="1" customWidth="1"/>
    <col min="13" max="13" width="8.5703125" bestFit="1" customWidth="1"/>
    <col min="14" max="14" width="12.28515625" bestFit="1" customWidth="1"/>
    <col min="15" max="15" width="20" bestFit="1" customWidth="1"/>
    <col min="16" max="16" width="18.5703125" bestFit="1" customWidth="1"/>
    <col min="17" max="17" width="14.140625" bestFit="1" customWidth="1"/>
    <col min="18" max="18" width="21" bestFit="1" customWidth="1"/>
    <col min="19" max="19" width="28.5703125" bestFit="1" customWidth="1"/>
    <col min="20" max="20" width="15.140625" bestFit="1" customWidth="1"/>
    <col min="21" max="21" width="20.5703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4294</v>
      </c>
      <c r="B2" s="1" t="s">
        <v>21</v>
      </c>
      <c r="C2" s="1" t="s">
        <v>22</v>
      </c>
      <c r="D2">
        <v>25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2">
        <v>43539</v>
      </c>
      <c r="K2" s="1" t="s">
        <v>28</v>
      </c>
      <c r="L2" s="1" t="s">
        <v>29</v>
      </c>
      <c r="M2">
        <v>53700</v>
      </c>
      <c r="N2" s="1" t="s">
        <v>30</v>
      </c>
      <c r="O2">
        <v>1463</v>
      </c>
      <c r="P2" s="1" t="s">
        <v>31</v>
      </c>
      <c r="Q2">
        <v>1</v>
      </c>
      <c r="R2">
        <v>1</v>
      </c>
      <c r="S2" s="1" t="s">
        <v>32</v>
      </c>
      <c r="T2" s="1" t="s">
        <v>33</v>
      </c>
      <c r="U2" s="1" t="s">
        <v>34</v>
      </c>
    </row>
    <row r="3" spans="1:21" x14ac:dyDescent="0.25">
      <c r="A3">
        <v>9116</v>
      </c>
      <c r="B3" s="1" t="s">
        <v>35</v>
      </c>
      <c r="C3" s="1" t="s">
        <v>36</v>
      </c>
      <c r="D3">
        <v>27</v>
      </c>
      <c r="E3" s="1" t="s">
        <v>37</v>
      </c>
      <c r="F3" s="1" t="s">
        <v>38</v>
      </c>
      <c r="G3" s="1" t="s">
        <v>39</v>
      </c>
      <c r="H3" s="1" t="s">
        <v>40</v>
      </c>
      <c r="I3" s="1" t="s">
        <v>41</v>
      </c>
      <c r="J3" s="2">
        <v>44915</v>
      </c>
      <c r="K3" s="1" t="s">
        <v>28</v>
      </c>
      <c r="L3" s="1" t="s">
        <v>42</v>
      </c>
      <c r="M3">
        <v>91091</v>
      </c>
      <c r="N3" s="1" t="s">
        <v>43</v>
      </c>
      <c r="O3">
        <v>1024</v>
      </c>
      <c r="P3" s="1" t="s">
        <v>44</v>
      </c>
      <c r="Q3">
        <v>19</v>
      </c>
      <c r="R3">
        <v>4</v>
      </c>
      <c r="S3" s="1" t="s">
        <v>45</v>
      </c>
      <c r="T3" s="1" t="s">
        <v>33</v>
      </c>
      <c r="U3" s="1" t="s">
        <v>34</v>
      </c>
    </row>
    <row r="4" spans="1:21" x14ac:dyDescent="0.25">
      <c r="A4">
        <v>5120</v>
      </c>
      <c r="B4" s="1" t="s">
        <v>46</v>
      </c>
      <c r="C4" s="1" t="s">
        <v>36</v>
      </c>
      <c r="D4">
        <v>34</v>
      </c>
      <c r="E4" s="1" t="s">
        <v>37</v>
      </c>
      <c r="F4" s="1" t="s">
        <v>47</v>
      </c>
      <c r="G4" s="1" t="s">
        <v>48</v>
      </c>
      <c r="H4" s="1" t="s">
        <v>49</v>
      </c>
      <c r="I4" s="1" t="s">
        <v>50</v>
      </c>
      <c r="J4" s="2">
        <v>44783</v>
      </c>
      <c r="K4" s="1" t="s">
        <v>28</v>
      </c>
      <c r="L4" s="1" t="s">
        <v>51</v>
      </c>
      <c r="M4">
        <v>57538</v>
      </c>
      <c r="N4" s="1" t="s">
        <v>52</v>
      </c>
      <c r="O4">
        <v>1674</v>
      </c>
      <c r="P4" s="1" t="s">
        <v>44</v>
      </c>
      <c r="Q4">
        <v>8</v>
      </c>
      <c r="R4">
        <v>1</v>
      </c>
      <c r="S4" s="1" t="s">
        <v>44</v>
      </c>
      <c r="T4" s="1" t="s">
        <v>53</v>
      </c>
      <c r="U4" s="1" t="s">
        <v>54</v>
      </c>
    </row>
    <row r="5" spans="1:21" x14ac:dyDescent="0.25">
      <c r="A5">
        <v>8071</v>
      </c>
      <c r="B5" s="1" t="s">
        <v>55</v>
      </c>
      <c r="C5" s="1" t="s">
        <v>22</v>
      </c>
      <c r="D5">
        <v>41</v>
      </c>
      <c r="E5" s="1" t="s">
        <v>56</v>
      </c>
      <c r="F5" s="1" t="s">
        <v>47</v>
      </c>
      <c r="G5" s="1" t="s">
        <v>25</v>
      </c>
      <c r="H5" s="1" t="s">
        <v>57</v>
      </c>
      <c r="I5" s="1" t="s">
        <v>58</v>
      </c>
      <c r="J5" s="2">
        <v>45538</v>
      </c>
      <c r="K5" s="1" t="s">
        <v>59</v>
      </c>
      <c r="L5" s="1" t="s">
        <v>29</v>
      </c>
      <c r="M5">
        <v>62993</v>
      </c>
      <c r="N5" s="1" t="s">
        <v>60</v>
      </c>
      <c r="O5">
        <v>2695</v>
      </c>
      <c r="P5" s="1" t="s">
        <v>61</v>
      </c>
      <c r="Q5">
        <v>0</v>
      </c>
      <c r="R5">
        <v>2</v>
      </c>
      <c r="S5" s="1" t="s">
        <v>44</v>
      </c>
      <c r="T5" s="1" t="s">
        <v>62</v>
      </c>
      <c r="U5" s="1" t="s">
        <v>44</v>
      </c>
    </row>
    <row r="6" spans="1:21" x14ac:dyDescent="0.25">
      <c r="A6">
        <v>9351</v>
      </c>
      <c r="B6" s="1" t="s">
        <v>63</v>
      </c>
      <c r="C6" s="1" t="s">
        <v>36</v>
      </c>
      <c r="D6">
        <v>56</v>
      </c>
      <c r="E6" s="1" t="s">
        <v>64</v>
      </c>
      <c r="F6" s="1" t="s">
        <v>24</v>
      </c>
      <c r="G6" s="1" t="s">
        <v>25</v>
      </c>
      <c r="H6" s="1" t="s">
        <v>49</v>
      </c>
      <c r="I6" s="1" t="s">
        <v>65</v>
      </c>
      <c r="J6" s="2">
        <v>43538</v>
      </c>
      <c r="K6" s="1" t="s">
        <v>59</v>
      </c>
      <c r="L6" s="1" t="s">
        <v>42</v>
      </c>
      <c r="M6">
        <v>45773</v>
      </c>
      <c r="N6" s="1" t="s">
        <v>60</v>
      </c>
      <c r="O6">
        <v>8776</v>
      </c>
      <c r="P6" s="1" t="s">
        <v>31</v>
      </c>
      <c r="Q6">
        <v>16</v>
      </c>
      <c r="R6">
        <v>4</v>
      </c>
      <c r="S6" s="1" t="s">
        <v>32</v>
      </c>
      <c r="T6" s="1" t="s">
        <v>62</v>
      </c>
      <c r="U6" s="1" t="s">
        <v>44</v>
      </c>
    </row>
    <row r="7" spans="1:21" x14ac:dyDescent="0.25">
      <c r="A7">
        <v>2873</v>
      </c>
      <c r="B7" s="1" t="s">
        <v>66</v>
      </c>
      <c r="C7" s="1" t="s">
        <v>22</v>
      </c>
      <c r="D7">
        <v>28</v>
      </c>
      <c r="E7" s="1" t="s">
        <v>37</v>
      </c>
      <c r="F7" s="1" t="s">
        <v>47</v>
      </c>
      <c r="G7" s="1" t="s">
        <v>67</v>
      </c>
      <c r="H7" s="1" t="s">
        <v>49</v>
      </c>
      <c r="I7" s="1" t="s">
        <v>68</v>
      </c>
      <c r="J7" s="2">
        <v>42758</v>
      </c>
      <c r="K7" s="1" t="s">
        <v>28</v>
      </c>
      <c r="L7" s="1" t="s">
        <v>42</v>
      </c>
      <c r="M7">
        <v>96249</v>
      </c>
      <c r="N7" s="1" t="s">
        <v>30</v>
      </c>
      <c r="O7">
        <v>4826</v>
      </c>
      <c r="P7" s="1" t="s">
        <v>61</v>
      </c>
      <c r="Q7">
        <v>7</v>
      </c>
      <c r="R7">
        <v>3</v>
      </c>
      <c r="S7" s="1" t="s">
        <v>32</v>
      </c>
      <c r="T7" s="1" t="s">
        <v>69</v>
      </c>
      <c r="U7" s="1" t="s">
        <v>34</v>
      </c>
    </row>
    <row r="8" spans="1:21" x14ac:dyDescent="0.25">
      <c r="A8">
        <v>3540</v>
      </c>
      <c r="B8" s="1" t="s">
        <v>70</v>
      </c>
      <c r="C8" s="1" t="s">
        <v>22</v>
      </c>
      <c r="D8">
        <v>20</v>
      </c>
      <c r="E8" s="1" t="s">
        <v>23</v>
      </c>
      <c r="F8" s="1" t="s">
        <v>38</v>
      </c>
      <c r="G8" s="1" t="s">
        <v>48</v>
      </c>
      <c r="H8" s="1" t="s">
        <v>49</v>
      </c>
      <c r="I8" s="1" t="s">
        <v>71</v>
      </c>
      <c r="J8" s="2">
        <v>45521</v>
      </c>
      <c r="K8" s="1" t="s">
        <v>28</v>
      </c>
      <c r="L8" s="1" t="s">
        <v>51</v>
      </c>
      <c r="M8">
        <v>61596</v>
      </c>
      <c r="N8" s="1" t="s">
        <v>30</v>
      </c>
      <c r="O8">
        <v>8818</v>
      </c>
      <c r="P8" s="1" t="s">
        <v>61</v>
      </c>
      <c r="Q8">
        <v>4</v>
      </c>
      <c r="R8">
        <v>2</v>
      </c>
      <c r="S8" s="1" t="s">
        <v>32</v>
      </c>
      <c r="T8" s="1" t="s">
        <v>53</v>
      </c>
      <c r="U8" s="1" t="s">
        <v>44</v>
      </c>
    </row>
    <row r="9" spans="1:21" x14ac:dyDescent="0.25">
      <c r="A9">
        <v>3653</v>
      </c>
      <c r="B9" s="1" t="s">
        <v>72</v>
      </c>
      <c r="C9" s="1" t="s">
        <v>22</v>
      </c>
      <c r="D9">
        <v>58</v>
      </c>
      <c r="E9" s="1" t="s">
        <v>64</v>
      </c>
      <c r="F9" s="1" t="s">
        <v>73</v>
      </c>
      <c r="G9" s="1" t="s">
        <v>39</v>
      </c>
      <c r="H9" s="1" t="s">
        <v>74</v>
      </c>
      <c r="I9" s="1" t="s">
        <v>75</v>
      </c>
      <c r="J9" s="2">
        <v>41982</v>
      </c>
      <c r="K9" s="1" t="s">
        <v>28</v>
      </c>
      <c r="L9" s="1" t="s">
        <v>51</v>
      </c>
      <c r="M9">
        <v>97869</v>
      </c>
      <c r="N9" s="1" t="s">
        <v>60</v>
      </c>
      <c r="O9">
        <v>1966</v>
      </c>
      <c r="P9" s="1" t="s">
        <v>31</v>
      </c>
      <c r="Q9">
        <v>10</v>
      </c>
      <c r="R9">
        <v>1</v>
      </c>
      <c r="S9" s="1" t="s">
        <v>32</v>
      </c>
      <c r="T9" s="1" t="s">
        <v>33</v>
      </c>
      <c r="U9" s="1" t="s">
        <v>34</v>
      </c>
    </row>
    <row r="10" spans="1:21" x14ac:dyDescent="0.25">
      <c r="A10">
        <v>5587</v>
      </c>
      <c r="B10" s="1" t="s">
        <v>76</v>
      </c>
      <c r="C10" s="1" t="s">
        <v>22</v>
      </c>
      <c r="D10">
        <v>44</v>
      </c>
      <c r="E10" s="1" t="s">
        <v>56</v>
      </c>
      <c r="F10" s="1" t="s">
        <v>73</v>
      </c>
      <c r="G10" s="1" t="s">
        <v>48</v>
      </c>
      <c r="H10" s="1" t="s">
        <v>49</v>
      </c>
      <c r="I10" s="1" t="s">
        <v>77</v>
      </c>
      <c r="J10" s="2">
        <v>44375</v>
      </c>
      <c r="K10" s="1" t="s">
        <v>28</v>
      </c>
      <c r="L10" s="1" t="s">
        <v>29</v>
      </c>
      <c r="M10">
        <v>81235</v>
      </c>
      <c r="N10" s="1" t="s">
        <v>60</v>
      </c>
      <c r="O10">
        <v>6553</v>
      </c>
      <c r="P10" s="1" t="s">
        <v>44</v>
      </c>
      <c r="Q10">
        <v>16</v>
      </c>
      <c r="R10">
        <v>2</v>
      </c>
      <c r="S10" s="1" t="s">
        <v>44</v>
      </c>
      <c r="T10" s="1" t="s">
        <v>53</v>
      </c>
      <c r="U10" s="1" t="s">
        <v>34</v>
      </c>
    </row>
    <row r="11" spans="1:21" x14ac:dyDescent="0.25">
      <c r="A11">
        <v>9554</v>
      </c>
      <c r="B11" s="1" t="s">
        <v>78</v>
      </c>
      <c r="C11" s="1" t="s">
        <v>22</v>
      </c>
      <c r="D11">
        <v>29</v>
      </c>
      <c r="E11" s="1" t="s">
        <v>37</v>
      </c>
      <c r="F11" s="1" t="s">
        <v>38</v>
      </c>
      <c r="G11" s="1" t="s">
        <v>48</v>
      </c>
      <c r="H11" s="1" t="s">
        <v>57</v>
      </c>
      <c r="I11" s="1" t="s">
        <v>79</v>
      </c>
      <c r="J11" s="2">
        <v>43240</v>
      </c>
      <c r="K11" s="1" t="s">
        <v>28</v>
      </c>
      <c r="L11" s="1" t="s">
        <v>42</v>
      </c>
      <c r="M11">
        <v>87852</v>
      </c>
      <c r="N11" s="1" t="s">
        <v>60</v>
      </c>
      <c r="O11">
        <v>4980</v>
      </c>
      <c r="P11" s="1" t="s">
        <v>61</v>
      </c>
      <c r="Q11">
        <v>19</v>
      </c>
      <c r="R11">
        <v>3</v>
      </c>
      <c r="S11" s="1" t="s">
        <v>44</v>
      </c>
      <c r="T11" s="1" t="s">
        <v>62</v>
      </c>
      <c r="U11" s="1" t="s">
        <v>34</v>
      </c>
    </row>
    <row r="12" spans="1:21" x14ac:dyDescent="0.25">
      <c r="A12">
        <v>6213</v>
      </c>
      <c r="B12" s="1" t="s">
        <v>80</v>
      </c>
      <c r="C12" s="1" t="s">
        <v>36</v>
      </c>
      <c r="D12">
        <v>23</v>
      </c>
      <c r="E12" s="1" t="s">
        <v>23</v>
      </c>
      <c r="F12" s="1" t="s">
        <v>73</v>
      </c>
      <c r="G12" s="1" t="s">
        <v>25</v>
      </c>
      <c r="H12" s="1" t="s">
        <v>49</v>
      </c>
      <c r="I12" s="1" t="s">
        <v>81</v>
      </c>
      <c r="J12" s="2">
        <v>42779</v>
      </c>
      <c r="K12" s="1" t="s">
        <v>59</v>
      </c>
      <c r="L12" s="1" t="s">
        <v>42</v>
      </c>
      <c r="M12">
        <v>59359</v>
      </c>
      <c r="N12" s="1" t="s">
        <v>60</v>
      </c>
      <c r="O12">
        <v>9449</v>
      </c>
      <c r="P12" s="1" t="s">
        <v>61</v>
      </c>
      <c r="Q12">
        <v>20</v>
      </c>
      <c r="R12">
        <v>3</v>
      </c>
      <c r="S12" s="1" t="s">
        <v>44</v>
      </c>
      <c r="T12" s="1" t="s">
        <v>53</v>
      </c>
      <c r="U12" s="1" t="s">
        <v>44</v>
      </c>
    </row>
    <row r="13" spans="1:21" x14ac:dyDescent="0.25">
      <c r="A13">
        <v>9105</v>
      </c>
      <c r="B13" s="1" t="s">
        <v>82</v>
      </c>
      <c r="C13" s="1" t="s">
        <v>36</v>
      </c>
      <c r="D13">
        <v>30</v>
      </c>
      <c r="E13" s="1" t="s">
        <v>37</v>
      </c>
      <c r="F13" s="1" t="s">
        <v>24</v>
      </c>
      <c r="G13" s="1" t="s">
        <v>39</v>
      </c>
      <c r="H13" s="1" t="s">
        <v>26</v>
      </c>
      <c r="I13" s="1" t="s">
        <v>83</v>
      </c>
      <c r="J13" s="2">
        <v>45417</v>
      </c>
      <c r="K13" s="1" t="s">
        <v>59</v>
      </c>
      <c r="L13" s="1" t="s">
        <v>51</v>
      </c>
      <c r="M13">
        <v>81225</v>
      </c>
      <c r="N13" s="1" t="s">
        <v>52</v>
      </c>
      <c r="O13">
        <v>6202</v>
      </c>
      <c r="P13" s="1" t="s">
        <v>61</v>
      </c>
      <c r="Q13">
        <v>2</v>
      </c>
      <c r="R13">
        <v>2</v>
      </c>
      <c r="S13" s="1" t="s">
        <v>45</v>
      </c>
      <c r="T13" s="1" t="s">
        <v>84</v>
      </c>
      <c r="U13" s="1" t="s">
        <v>34</v>
      </c>
    </row>
    <row r="14" spans="1:21" x14ac:dyDescent="0.25">
      <c r="A14">
        <v>9508</v>
      </c>
      <c r="B14" s="1" t="s">
        <v>85</v>
      </c>
      <c r="C14" s="1" t="s">
        <v>22</v>
      </c>
      <c r="D14">
        <v>49</v>
      </c>
      <c r="E14" s="1" t="s">
        <v>86</v>
      </c>
      <c r="F14" s="1" t="s">
        <v>38</v>
      </c>
      <c r="G14" s="1" t="s">
        <v>25</v>
      </c>
      <c r="H14" s="1" t="s">
        <v>26</v>
      </c>
      <c r="I14" s="1" t="s">
        <v>87</v>
      </c>
      <c r="J14" s="2">
        <v>44670</v>
      </c>
      <c r="K14" s="1" t="s">
        <v>59</v>
      </c>
      <c r="L14" s="1" t="s">
        <v>29</v>
      </c>
      <c r="M14">
        <v>32788</v>
      </c>
      <c r="N14" s="1" t="s">
        <v>52</v>
      </c>
      <c r="O14">
        <v>4396</v>
      </c>
      <c r="P14" s="1" t="s">
        <v>31</v>
      </c>
      <c r="Q14">
        <v>13</v>
      </c>
      <c r="R14">
        <v>5</v>
      </c>
      <c r="S14" s="1" t="s">
        <v>44</v>
      </c>
      <c r="T14" s="1" t="s">
        <v>69</v>
      </c>
      <c r="U14" s="1" t="s">
        <v>54</v>
      </c>
    </row>
    <row r="15" spans="1:21" x14ac:dyDescent="0.25">
      <c r="A15">
        <v>2436</v>
      </c>
      <c r="B15" s="1" t="s">
        <v>88</v>
      </c>
      <c r="C15" s="1" t="s">
        <v>36</v>
      </c>
      <c r="D15">
        <v>60</v>
      </c>
      <c r="E15" s="1" t="s">
        <v>64</v>
      </c>
      <c r="F15" s="1" t="s">
        <v>89</v>
      </c>
      <c r="G15" s="1" t="s">
        <v>25</v>
      </c>
      <c r="H15" s="1" t="s">
        <v>57</v>
      </c>
      <c r="I15" s="1" t="s">
        <v>90</v>
      </c>
      <c r="J15" s="2">
        <v>42324</v>
      </c>
      <c r="K15" s="1" t="s">
        <v>59</v>
      </c>
      <c r="L15" s="1" t="s">
        <v>51</v>
      </c>
      <c r="M15">
        <v>70452</v>
      </c>
      <c r="N15" s="1" t="s">
        <v>52</v>
      </c>
      <c r="O15">
        <v>9911</v>
      </c>
      <c r="P15" s="1" t="s">
        <v>44</v>
      </c>
      <c r="Q15">
        <v>2</v>
      </c>
      <c r="R15">
        <v>1</v>
      </c>
      <c r="S15" s="1" t="s">
        <v>44</v>
      </c>
      <c r="T15" s="1" t="s">
        <v>69</v>
      </c>
      <c r="U15" s="1" t="s">
        <v>34</v>
      </c>
    </row>
    <row r="16" spans="1:21" x14ac:dyDescent="0.25">
      <c r="A16">
        <v>4441</v>
      </c>
      <c r="B16" s="1" t="s">
        <v>91</v>
      </c>
      <c r="C16" s="1" t="s">
        <v>36</v>
      </c>
      <c r="D16">
        <v>46</v>
      </c>
      <c r="E16" s="1" t="s">
        <v>86</v>
      </c>
      <c r="F16" s="1" t="s">
        <v>38</v>
      </c>
      <c r="G16" s="1" t="s">
        <v>67</v>
      </c>
      <c r="H16" s="1" t="s">
        <v>26</v>
      </c>
      <c r="I16" s="1" t="s">
        <v>92</v>
      </c>
      <c r="J16" s="2">
        <v>45178</v>
      </c>
      <c r="K16" s="1" t="s">
        <v>28</v>
      </c>
      <c r="L16" s="1" t="s">
        <v>42</v>
      </c>
      <c r="M16">
        <v>33045</v>
      </c>
      <c r="N16" s="1" t="s">
        <v>43</v>
      </c>
      <c r="O16">
        <v>1456</v>
      </c>
      <c r="P16" s="1" t="s">
        <v>44</v>
      </c>
      <c r="Q16">
        <v>16</v>
      </c>
      <c r="R16">
        <v>3</v>
      </c>
      <c r="S16" s="1" t="s">
        <v>45</v>
      </c>
      <c r="T16" s="1" t="s">
        <v>69</v>
      </c>
      <c r="U16" s="1" t="s">
        <v>44</v>
      </c>
    </row>
    <row r="17" spans="1:21" x14ac:dyDescent="0.25">
      <c r="A17">
        <v>5827</v>
      </c>
      <c r="B17" s="1" t="s">
        <v>93</v>
      </c>
      <c r="C17" s="1" t="s">
        <v>36</v>
      </c>
      <c r="D17">
        <v>57</v>
      </c>
      <c r="E17" s="1" t="s">
        <v>64</v>
      </c>
      <c r="F17" s="1" t="s">
        <v>47</v>
      </c>
      <c r="G17" s="1" t="s">
        <v>67</v>
      </c>
      <c r="H17" s="1" t="s">
        <v>40</v>
      </c>
      <c r="I17" s="1" t="s">
        <v>94</v>
      </c>
      <c r="J17" s="2">
        <v>43081</v>
      </c>
      <c r="K17" s="1" t="s">
        <v>95</v>
      </c>
      <c r="L17" s="1" t="s">
        <v>51</v>
      </c>
      <c r="M17">
        <v>96429</v>
      </c>
      <c r="N17" s="1" t="s">
        <v>30</v>
      </c>
      <c r="O17">
        <v>4740</v>
      </c>
      <c r="P17" s="1" t="s">
        <v>44</v>
      </c>
      <c r="Q17">
        <v>8</v>
      </c>
      <c r="R17">
        <v>1</v>
      </c>
      <c r="S17" s="1" t="s">
        <v>45</v>
      </c>
      <c r="T17" s="1" t="s">
        <v>62</v>
      </c>
      <c r="U17" s="1" t="s">
        <v>44</v>
      </c>
    </row>
    <row r="18" spans="1:21" x14ac:dyDescent="0.25">
      <c r="A18">
        <v>5184</v>
      </c>
      <c r="B18" s="1" t="s">
        <v>96</v>
      </c>
      <c r="C18" s="1" t="s">
        <v>22</v>
      </c>
      <c r="D18">
        <v>24</v>
      </c>
      <c r="E18" s="1" t="s">
        <v>23</v>
      </c>
      <c r="F18" s="1" t="s">
        <v>38</v>
      </c>
      <c r="G18" s="1" t="s">
        <v>48</v>
      </c>
      <c r="H18" s="1" t="s">
        <v>49</v>
      </c>
      <c r="I18" s="1" t="s">
        <v>97</v>
      </c>
      <c r="J18" s="2">
        <v>42804</v>
      </c>
      <c r="K18" s="1" t="s">
        <v>95</v>
      </c>
      <c r="L18" s="1" t="s">
        <v>51</v>
      </c>
      <c r="M18">
        <v>33183</v>
      </c>
      <c r="N18" s="1" t="s">
        <v>60</v>
      </c>
      <c r="O18">
        <v>8114</v>
      </c>
      <c r="P18" s="1" t="s">
        <v>44</v>
      </c>
      <c r="Q18">
        <v>4</v>
      </c>
      <c r="R18">
        <v>2</v>
      </c>
      <c r="S18" s="1" t="s">
        <v>45</v>
      </c>
      <c r="T18" s="1" t="s">
        <v>84</v>
      </c>
      <c r="U18" s="1" t="s">
        <v>54</v>
      </c>
    </row>
    <row r="19" spans="1:21" x14ac:dyDescent="0.25">
      <c r="A19">
        <v>5874</v>
      </c>
      <c r="B19" s="1" t="s">
        <v>55</v>
      </c>
      <c r="C19" s="1" t="s">
        <v>22</v>
      </c>
      <c r="D19">
        <v>35</v>
      </c>
      <c r="E19" s="1" t="s">
        <v>37</v>
      </c>
      <c r="F19" s="1" t="s">
        <v>89</v>
      </c>
      <c r="G19" s="1" t="s">
        <v>67</v>
      </c>
      <c r="H19" s="1" t="s">
        <v>26</v>
      </c>
      <c r="I19" s="1" t="s">
        <v>98</v>
      </c>
      <c r="J19" s="2">
        <v>43528</v>
      </c>
      <c r="K19" s="1" t="s">
        <v>95</v>
      </c>
      <c r="L19" s="1" t="s">
        <v>29</v>
      </c>
      <c r="M19">
        <v>75065</v>
      </c>
      <c r="N19" s="1" t="s">
        <v>30</v>
      </c>
      <c r="O19">
        <v>7123</v>
      </c>
      <c r="P19" s="1" t="s">
        <v>44</v>
      </c>
      <c r="Q19">
        <v>20</v>
      </c>
      <c r="R19">
        <v>2</v>
      </c>
      <c r="S19" s="1" t="s">
        <v>44</v>
      </c>
      <c r="T19" s="1" t="s">
        <v>33</v>
      </c>
      <c r="U19" s="1" t="s">
        <v>54</v>
      </c>
    </row>
    <row r="20" spans="1:21" x14ac:dyDescent="0.25">
      <c r="A20">
        <v>9834</v>
      </c>
      <c r="B20" s="1" t="s">
        <v>99</v>
      </c>
      <c r="C20" s="1" t="s">
        <v>36</v>
      </c>
      <c r="D20">
        <v>41</v>
      </c>
      <c r="E20" s="1" t="s">
        <v>56</v>
      </c>
      <c r="F20" s="1" t="s">
        <v>38</v>
      </c>
      <c r="G20" s="1" t="s">
        <v>39</v>
      </c>
      <c r="H20" s="1" t="s">
        <v>74</v>
      </c>
      <c r="I20" s="1" t="s">
        <v>100</v>
      </c>
      <c r="J20" s="2">
        <v>44885</v>
      </c>
      <c r="K20" s="1" t="s">
        <v>28</v>
      </c>
      <c r="L20" s="1" t="s">
        <v>51</v>
      </c>
      <c r="M20">
        <v>32877</v>
      </c>
      <c r="N20" s="1" t="s">
        <v>30</v>
      </c>
      <c r="O20">
        <v>6432</v>
      </c>
      <c r="P20" s="1" t="s">
        <v>31</v>
      </c>
      <c r="Q20">
        <v>11</v>
      </c>
      <c r="R20">
        <v>1</v>
      </c>
      <c r="S20" s="1" t="s">
        <v>44</v>
      </c>
      <c r="T20" s="1" t="s">
        <v>33</v>
      </c>
      <c r="U20" s="1" t="s">
        <v>44</v>
      </c>
    </row>
    <row r="21" spans="1:21" x14ac:dyDescent="0.25">
      <c r="A21">
        <v>5096</v>
      </c>
      <c r="B21" s="1" t="s">
        <v>101</v>
      </c>
      <c r="C21" s="1" t="s">
        <v>36</v>
      </c>
      <c r="D21">
        <v>36</v>
      </c>
      <c r="E21" s="1" t="s">
        <v>56</v>
      </c>
      <c r="F21" s="1" t="s">
        <v>38</v>
      </c>
      <c r="G21" s="1" t="s">
        <v>102</v>
      </c>
      <c r="H21" s="1" t="s">
        <v>57</v>
      </c>
      <c r="I21" s="1" t="s">
        <v>103</v>
      </c>
      <c r="J21" s="2">
        <v>44257</v>
      </c>
      <c r="K21" s="1" t="s">
        <v>28</v>
      </c>
      <c r="L21" s="1" t="s">
        <v>42</v>
      </c>
      <c r="M21">
        <v>46811</v>
      </c>
      <c r="N21" s="1" t="s">
        <v>52</v>
      </c>
      <c r="O21">
        <v>1567</v>
      </c>
      <c r="P21" s="1" t="s">
        <v>44</v>
      </c>
      <c r="Q21">
        <v>7</v>
      </c>
      <c r="R21">
        <v>3</v>
      </c>
      <c r="S21" s="1" t="s">
        <v>45</v>
      </c>
      <c r="T21" s="1" t="s">
        <v>33</v>
      </c>
      <c r="U21" s="1" t="s">
        <v>54</v>
      </c>
    </row>
    <row r="22" spans="1:21" x14ac:dyDescent="0.25">
      <c r="A22">
        <v>2263</v>
      </c>
      <c r="B22" s="1" t="s">
        <v>104</v>
      </c>
      <c r="C22" s="1" t="s">
        <v>36</v>
      </c>
      <c r="D22">
        <v>31</v>
      </c>
      <c r="E22" s="1" t="s">
        <v>37</v>
      </c>
      <c r="F22" s="1" t="s">
        <v>73</v>
      </c>
      <c r="G22" s="1" t="s">
        <v>48</v>
      </c>
      <c r="H22" s="1" t="s">
        <v>40</v>
      </c>
      <c r="I22" s="1" t="s">
        <v>105</v>
      </c>
      <c r="J22" s="2">
        <v>44409</v>
      </c>
      <c r="K22" s="1" t="s">
        <v>59</v>
      </c>
      <c r="L22" s="1" t="s">
        <v>42</v>
      </c>
      <c r="M22">
        <v>87538</v>
      </c>
      <c r="N22" s="1" t="s">
        <v>30</v>
      </c>
      <c r="O22">
        <v>3588</v>
      </c>
      <c r="P22" s="1" t="s">
        <v>61</v>
      </c>
      <c r="Q22">
        <v>11</v>
      </c>
      <c r="R22">
        <v>5</v>
      </c>
      <c r="S22" s="1" t="s">
        <v>45</v>
      </c>
      <c r="T22" s="1" t="s">
        <v>62</v>
      </c>
      <c r="U22" s="1" t="s">
        <v>44</v>
      </c>
    </row>
    <row r="23" spans="1:21" x14ac:dyDescent="0.25">
      <c r="A23">
        <v>6505</v>
      </c>
      <c r="B23" s="1" t="s">
        <v>106</v>
      </c>
      <c r="C23" s="1" t="s">
        <v>22</v>
      </c>
      <c r="D23">
        <v>28</v>
      </c>
      <c r="E23" s="1" t="s">
        <v>37</v>
      </c>
      <c r="F23" s="1" t="s">
        <v>24</v>
      </c>
      <c r="G23" s="1" t="s">
        <v>39</v>
      </c>
      <c r="H23" s="1" t="s">
        <v>74</v>
      </c>
      <c r="I23" s="1" t="s">
        <v>107</v>
      </c>
      <c r="J23" s="2">
        <v>42230</v>
      </c>
      <c r="K23" s="1" t="s">
        <v>28</v>
      </c>
      <c r="L23" s="1" t="s">
        <v>42</v>
      </c>
      <c r="M23">
        <v>73002</v>
      </c>
      <c r="N23" s="1" t="s">
        <v>30</v>
      </c>
      <c r="O23">
        <v>6296</v>
      </c>
      <c r="P23" s="1" t="s">
        <v>31</v>
      </c>
      <c r="Q23">
        <v>2</v>
      </c>
      <c r="R23">
        <v>5</v>
      </c>
      <c r="S23" s="1" t="s">
        <v>45</v>
      </c>
      <c r="T23" s="1" t="s">
        <v>53</v>
      </c>
      <c r="U23" s="1" t="s">
        <v>34</v>
      </c>
    </row>
    <row r="24" spans="1:21" x14ac:dyDescent="0.25">
      <c r="A24">
        <v>8626</v>
      </c>
      <c r="B24" s="1" t="s">
        <v>108</v>
      </c>
      <c r="C24" s="1" t="s">
        <v>36</v>
      </c>
      <c r="D24">
        <v>37</v>
      </c>
      <c r="E24" s="1" t="s">
        <v>56</v>
      </c>
      <c r="F24" s="1" t="s">
        <v>73</v>
      </c>
      <c r="G24" s="1" t="s">
        <v>39</v>
      </c>
      <c r="H24" s="1" t="s">
        <v>57</v>
      </c>
      <c r="I24" s="1" t="s">
        <v>109</v>
      </c>
      <c r="J24" s="2">
        <v>42298</v>
      </c>
      <c r="K24" s="1" t="s">
        <v>95</v>
      </c>
      <c r="L24" s="1" t="s">
        <v>51</v>
      </c>
      <c r="M24">
        <v>41653</v>
      </c>
      <c r="N24" s="1" t="s">
        <v>52</v>
      </c>
      <c r="O24">
        <v>9236</v>
      </c>
      <c r="P24" s="1" t="s">
        <v>44</v>
      </c>
      <c r="Q24">
        <v>13</v>
      </c>
      <c r="R24">
        <v>1</v>
      </c>
      <c r="S24" s="1" t="s">
        <v>45</v>
      </c>
      <c r="T24" s="1" t="s">
        <v>33</v>
      </c>
      <c r="U24" s="1" t="s">
        <v>44</v>
      </c>
    </row>
    <row r="25" spans="1:21" x14ac:dyDescent="0.25">
      <c r="A25">
        <v>5979</v>
      </c>
      <c r="B25" s="1" t="s">
        <v>110</v>
      </c>
      <c r="C25" s="1" t="s">
        <v>22</v>
      </c>
      <c r="D25">
        <v>31</v>
      </c>
      <c r="E25" s="1" t="s">
        <v>37</v>
      </c>
      <c r="F25" s="1" t="s">
        <v>24</v>
      </c>
      <c r="G25" s="1" t="s">
        <v>25</v>
      </c>
      <c r="H25" s="1" t="s">
        <v>49</v>
      </c>
      <c r="I25" s="1" t="s">
        <v>111</v>
      </c>
      <c r="J25" s="2">
        <v>42077</v>
      </c>
      <c r="K25" s="1" t="s">
        <v>59</v>
      </c>
      <c r="L25" s="1" t="s">
        <v>42</v>
      </c>
      <c r="M25">
        <v>67582</v>
      </c>
      <c r="N25" s="1" t="s">
        <v>60</v>
      </c>
      <c r="O25">
        <v>1375</v>
      </c>
      <c r="P25" s="1" t="s">
        <v>31</v>
      </c>
      <c r="Q25">
        <v>20</v>
      </c>
      <c r="R25">
        <v>3</v>
      </c>
      <c r="S25" s="1" t="s">
        <v>45</v>
      </c>
      <c r="T25" s="1" t="s">
        <v>53</v>
      </c>
      <c r="U25" s="1" t="s">
        <v>44</v>
      </c>
    </row>
    <row r="26" spans="1:21" x14ac:dyDescent="0.25">
      <c r="A26">
        <v>3104</v>
      </c>
      <c r="B26" s="1" t="s">
        <v>112</v>
      </c>
      <c r="C26" s="1" t="s">
        <v>22</v>
      </c>
      <c r="D26">
        <v>23</v>
      </c>
      <c r="E26" s="1" t="s">
        <v>23</v>
      </c>
      <c r="F26" s="1" t="s">
        <v>73</v>
      </c>
      <c r="G26" s="1" t="s">
        <v>39</v>
      </c>
      <c r="H26" s="1" t="s">
        <v>40</v>
      </c>
      <c r="I26" s="1" t="s">
        <v>113</v>
      </c>
      <c r="J26" s="2">
        <v>45434</v>
      </c>
      <c r="K26" s="1" t="s">
        <v>95</v>
      </c>
      <c r="L26" s="1" t="s">
        <v>42</v>
      </c>
      <c r="M26">
        <v>37351</v>
      </c>
      <c r="N26" s="1" t="s">
        <v>52</v>
      </c>
      <c r="O26">
        <v>7858</v>
      </c>
      <c r="P26" s="1" t="s">
        <v>61</v>
      </c>
      <c r="Q26">
        <v>18</v>
      </c>
      <c r="R26">
        <v>2</v>
      </c>
      <c r="S26" s="1" t="s">
        <v>32</v>
      </c>
      <c r="T26" s="1" t="s">
        <v>53</v>
      </c>
      <c r="U26" s="1" t="s">
        <v>54</v>
      </c>
    </row>
    <row r="27" spans="1:21" x14ac:dyDescent="0.25">
      <c r="A27">
        <v>8967</v>
      </c>
      <c r="B27" s="1" t="s">
        <v>114</v>
      </c>
      <c r="C27" s="1" t="s">
        <v>22</v>
      </c>
      <c r="D27">
        <v>48</v>
      </c>
      <c r="E27" s="1" t="s">
        <v>86</v>
      </c>
      <c r="F27" s="1" t="s">
        <v>89</v>
      </c>
      <c r="G27" s="1" t="s">
        <v>48</v>
      </c>
      <c r="H27" s="1" t="s">
        <v>26</v>
      </c>
      <c r="I27" s="1" t="s">
        <v>115</v>
      </c>
      <c r="J27" s="2">
        <v>42813</v>
      </c>
      <c r="K27" s="1" t="s">
        <v>28</v>
      </c>
      <c r="L27" s="1" t="s">
        <v>42</v>
      </c>
      <c r="M27">
        <v>36721</v>
      </c>
      <c r="N27" s="1" t="s">
        <v>43</v>
      </c>
      <c r="O27">
        <v>8820</v>
      </c>
      <c r="P27" s="1" t="s">
        <v>61</v>
      </c>
      <c r="Q27">
        <v>0</v>
      </c>
      <c r="R27">
        <v>2</v>
      </c>
      <c r="S27" s="1" t="s">
        <v>45</v>
      </c>
      <c r="T27" s="1" t="s">
        <v>53</v>
      </c>
      <c r="U27" s="1" t="s">
        <v>34</v>
      </c>
    </row>
    <row r="28" spans="1:21" x14ac:dyDescent="0.25">
      <c r="A28">
        <v>5087</v>
      </c>
      <c r="B28" s="1" t="s">
        <v>116</v>
      </c>
      <c r="C28" s="1" t="s">
        <v>36</v>
      </c>
      <c r="D28">
        <v>28</v>
      </c>
      <c r="E28" s="1" t="s">
        <v>37</v>
      </c>
      <c r="F28" s="1" t="s">
        <v>47</v>
      </c>
      <c r="G28" s="1" t="s">
        <v>102</v>
      </c>
      <c r="H28" s="1" t="s">
        <v>26</v>
      </c>
      <c r="I28" s="1" t="s">
        <v>117</v>
      </c>
      <c r="J28" s="2">
        <v>44454</v>
      </c>
      <c r="K28" s="1" t="s">
        <v>59</v>
      </c>
      <c r="L28" s="1" t="s">
        <v>51</v>
      </c>
      <c r="M28">
        <v>46326</v>
      </c>
      <c r="N28" s="1" t="s">
        <v>43</v>
      </c>
      <c r="O28">
        <v>9189</v>
      </c>
      <c r="P28" s="1" t="s">
        <v>61</v>
      </c>
      <c r="Q28">
        <v>8</v>
      </c>
      <c r="R28">
        <v>4</v>
      </c>
      <c r="S28" s="1" t="s">
        <v>32</v>
      </c>
      <c r="T28" s="1" t="s">
        <v>69</v>
      </c>
      <c r="U28" s="1" t="s">
        <v>54</v>
      </c>
    </row>
    <row r="29" spans="1:21" x14ac:dyDescent="0.25">
      <c r="A29">
        <v>3358</v>
      </c>
      <c r="B29" s="1" t="s">
        <v>118</v>
      </c>
      <c r="C29" s="1" t="s">
        <v>36</v>
      </c>
      <c r="D29">
        <v>30</v>
      </c>
      <c r="E29" s="1" t="s">
        <v>37</v>
      </c>
      <c r="F29" s="1" t="s">
        <v>38</v>
      </c>
      <c r="G29" s="1" t="s">
        <v>67</v>
      </c>
      <c r="H29" s="1" t="s">
        <v>40</v>
      </c>
      <c r="I29" s="1" t="s">
        <v>119</v>
      </c>
      <c r="J29" s="2">
        <v>44690</v>
      </c>
      <c r="K29" s="1" t="s">
        <v>28</v>
      </c>
      <c r="L29" s="1" t="s">
        <v>29</v>
      </c>
      <c r="M29">
        <v>59007</v>
      </c>
      <c r="N29" s="1" t="s">
        <v>30</v>
      </c>
      <c r="O29">
        <v>3380</v>
      </c>
      <c r="P29" s="1" t="s">
        <v>31</v>
      </c>
      <c r="Q29">
        <v>17</v>
      </c>
      <c r="R29">
        <v>3</v>
      </c>
      <c r="S29" s="1" t="s">
        <v>44</v>
      </c>
      <c r="T29" s="1" t="s">
        <v>84</v>
      </c>
      <c r="U29" s="1" t="s">
        <v>34</v>
      </c>
    </row>
    <row r="30" spans="1:21" x14ac:dyDescent="0.25">
      <c r="A30">
        <v>8256</v>
      </c>
      <c r="B30" s="1" t="s">
        <v>120</v>
      </c>
      <c r="C30" s="1" t="s">
        <v>36</v>
      </c>
      <c r="D30">
        <v>46</v>
      </c>
      <c r="E30" s="1" t="s">
        <v>86</v>
      </c>
      <c r="F30" s="1" t="s">
        <v>73</v>
      </c>
      <c r="G30" s="1" t="s">
        <v>25</v>
      </c>
      <c r="H30" s="1" t="s">
        <v>57</v>
      </c>
      <c r="I30" s="1" t="s">
        <v>121</v>
      </c>
      <c r="J30" s="2">
        <v>42908</v>
      </c>
      <c r="K30" s="1" t="s">
        <v>28</v>
      </c>
      <c r="L30" s="1" t="s">
        <v>42</v>
      </c>
      <c r="M30">
        <v>52020</v>
      </c>
      <c r="N30" s="1" t="s">
        <v>43</v>
      </c>
      <c r="O30">
        <v>9585</v>
      </c>
      <c r="P30" s="1" t="s">
        <v>61</v>
      </c>
      <c r="Q30">
        <v>0</v>
      </c>
      <c r="R30">
        <v>4</v>
      </c>
      <c r="S30" s="1" t="s">
        <v>45</v>
      </c>
      <c r="T30" s="1" t="s">
        <v>84</v>
      </c>
      <c r="U30" s="1" t="s">
        <v>44</v>
      </c>
    </row>
    <row r="31" spans="1:21" x14ac:dyDescent="0.25">
      <c r="A31">
        <v>5763</v>
      </c>
      <c r="B31" s="1" t="s">
        <v>122</v>
      </c>
      <c r="C31" s="1" t="s">
        <v>36</v>
      </c>
      <c r="D31">
        <v>44</v>
      </c>
      <c r="E31" s="1" t="s">
        <v>56</v>
      </c>
      <c r="F31" s="1" t="s">
        <v>38</v>
      </c>
      <c r="G31" s="1" t="s">
        <v>48</v>
      </c>
      <c r="H31" s="1" t="s">
        <v>40</v>
      </c>
      <c r="I31" s="1" t="s">
        <v>123</v>
      </c>
      <c r="J31" s="2">
        <v>44163</v>
      </c>
      <c r="K31" s="1" t="s">
        <v>95</v>
      </c>
      <c r="L31" s="1" t="s">
        <v>42</v>
      </c>
      <c r="M31">
        <v>98961</v>
      </c>
      <c r="N31" s="1" t="s">
        <v>52</v>
      </c>
      <c r="O31">
        <v>2688</v>
      </c>
      <c r="P31" s="1" t="s">
        <v>31</v>
      </c>
      <c r="Q31">
        <v>2</v>
      </c>
      <c r="R31">
        <v>5</v>
      </c>
      <c r="S31" s="1" t="s">
        <v>45</v>
      </c>
      <c r="T31" s="1" t="s">
        <v>84</v>
      </c>
      <c r="U31" s="1" t="s">
        <v>34</v>
      </c>
    </row>
    <row r="32" spans="1:21" x14ac:dyDescent="0.25">
      <c r="A32">
        <v>6838</v>
      </c>
      <c r="B32" s="1" t="s">
        <v>124</v>
      </c>
      <c r="C32" s="1" t="s">
        <v>36</v>
      </c>
      <c r="D32">
        <v>45</v>
      </c>
      <c r="E32" s="1" t="s">
        <v>56</v>
      </c>
      <c r="F32" s="1" t="s">
        <v>47</v>
      </c>
      <c r="G32" s="1" t="s">
        <v>67</v>
      </c>
      <c r="H32" s="1" t="s">
        <v>49</v>
      </c>
      <c r="I32" s="1" t="s">
        <v>125</v>
      </c>
      <c r="J32" s="2">
        <v>42246</v>
      </c>
      <c r="K32" s="1" t="s">
        <v>95</v>
      </c>
      <c r="L32" s="1" t="s">
        <v>42</v>
      </c>
      <c r="M32">
        <v>81943</v>
      </c>
      <c r="N32" s="1" t="s">
        <v>30</v>
      </c>
      <c r="O32">
        <v>2255</v>
      </c>
      <c r="P32" s="1" t="s">
        <v>31</v>
      </c>
      <c r="Q32">
        <v>18</v>
      </c>
      <c r="R32">
        <v>2</v>
      </c>
      <c r="S32" s="1" t="s">
        <v>44</v>
      </c>
      <c r="T32" s="1" t="s">
        <v>62</v>
      </c>
      <c r="U32" s="1" t="s">
        <v>34</v>
      </c>
    </row>
    <row r="33" spans="1:21" x14ac:dyDescent="0.25">
      <c r="A33">
        <v>9544</v>
      </c>
      <c r="B33" s="1" t="s">
        <v>126</v>
      </c>
      <c r="C33" s="1" t="s">
        <v>36</v>
      </c>
      <c r="D33">
        <v>52</v>
      </c>
      <c r="E33" s="1" t="s">
        <v>86</v>
      </c>
      <c r="F33" s="1" t="s">
        <v>89</v>
      </c>
      <c r="G33" s="1" t="s">
        <v>48</v>
      </c>
      <c r="H33" s="1" t="s">
        <v>40</v>
      </c>
      <c r="I33" s="1" t="s">
        <v>127</v>
      </c>
      <c r="J33" s="2">
        <v>43400</v>
      </c>
      <c r="K33" s="1" t="s">
        <v>95</v>
      </c>
      <c r="L33" s="1" t="s">
        <v>42</v>
      </c>
      <c r="M33">
        <v>47627</v>
      </c>
      <c r="N33" s="1" t="s">
        <v>30</v>
      </c>
      <c r="O33">
        <v>1221</v>
      </c>
      <c r="P33" s="1" t="s">
        <v>44</v>
      </c>
      <c r="Q33">
        <v>4</v>
      </c>
      <c r="R33">
        <v>3</v>
      </c>
      <c r="S33" s="1" t="s">
        <v>44</v>
      </c>
      <c r="T33" s="1" t="s">
        <v>53</v>
      </c>
      <c r="U33" s="1" t="s">
        <v>44</v>
      </c>
    </row>
    <row r="34" spans="1:21" x14ac:dyDescent="0.25">
      <c r="A34">
        <v>8012</v>
      </c>
      <c r="B34" s="1" t="s">
        <v>128</v>
      </c>
      <c r="C34" s="1" t="s">
        <v>22</v>
      </c>
      <c r="D34">
        <v>52</v>
      </c>
      <c r="E34" s="1" t="s">
        <v>86</v>
      </c>
      <c r="F34" s="1" t="s">
        <v>24</v>
      </c>
      <c r="G34" s="1" t="s">
        <v>25</v>
      </c>
      <c r="H34" s="1" t="s">
        <v>74</v>
      </c>
      <c r="I34" s="1" t="s">
        <v>129</v>
      </c>
      <c r="J34" s="2">
        <v>43338</v>
      </c>
      <c r="K34" s="1" t="s">
        <v>95</v>
      </c>
      <c r="L34" s="1" t="s">
        <v>42</v>
      </c>
      <c r="M34">
        <v>56162</v>
      </c>
      <c r="N34" s="1" t="s">
        <v>52</v>
      </c>
      <c r="O34">
        <v>6560</v>
      </c>
      <c r="P34" s="1" t="s">
        <v>61</v>
      </c>
      <c r="Q34">
        <v>9</v>
      </c>
      <c r="R34">
        <v>4</v>
      </c>
      <c r="S34" s="1" t="s">
        <v>45</v>
      </c>
      <c r="T34" s="1" t="s">
        <v>69</v>
      </c>
      <c r="U34" s="1" t="s">
        <v>44</v>
      </c>
    </row>
    <row r="35" spans="1:21" x14ac:dyDescent="0.25">
      <c r="A35">
        <v>9374</v>
      </c>
      <c r="B35" s="1" t="s">
        <v>130</v>
      </c>
      <c r="C35" s="1" t="s">
        <v>22</v>
      </c>
      <c r="D35">
        <v>42</v>
      </c>
      <c r="E35" s="1" t="s">
        <v>56</v>
      </c>
      <c r="F35" s="1" t="s">
        <v>38</v>
      </c>
      <c r="G35" s="1" t="s">
        <v>48</v>
      </c>
      <c r="H35" s="1" t="s">
        <v>49</v>
      </c>
      <c r="I35" s="1" t="s">
        <v>131</v>
      </c>
      <c r="J35" s="2">
        <v>45131</v>
      </c>
      <c r="K35" s="1" t="s">
        <v>59</v>
      </c>
      <c r="L35" s="1" t="s">
        <v>51</v>
      </c>
      <c r="M35">
        <v>95734</v>
      </c>
      <c r="N35" s="1" t="s">
        <v>30</v>
      </c>
      <c r="O35">
        <v>4854</v>
      </c>
      <c r="P35" s="1" t="s">
        <v>31</v>
      </c>
      <c r="Q35">
        <v>13</v>
      </c>
      <c r="R35">
        <v>2</v>
      </c>
      <c r="S35" s="1" t="s">
        <v>32</v>
      </c>
      <c r="T35" s="1" t="s">
        <v>33</v>
      </c>
      <c r="U35" s="1" t="s">
        <v>34</v>
      </c>
    </row>
    <row r="36" spans="1:21" x14ac:dyDescent="0.25">
      <c r="A36">
        <v>3487</v>
      </c>
      <c r="B36" s="1" t="s">
        <v>132</v>
      </c>
      <c r="C36" s="1" t="s">
        <v>36</v>
      </c>
      <c r="D36">
        <v>58</v>
      </c>
      <c r="E36" s="1" t="s">
        <v>64</v>
      </c>
      <c r="F36" s="1" t="s">
        <v>38</v>
      </c>
      <c r="G36" s="1" t="s">
        <v>39</v>
      </c>
      <c r="H36" s="1" t="s">
        <v>57</v>
      </c>
      <c r="I36" s="1" t="s">
        <v>133</v>
      </c>
      <c r="J36" s="2">
        <v>43290</v>
      </c>
      <c r="K36" s="1" t="s">
        <v>59</v>
      </c>
      <c r="L36" s="1" t="s">
        <v>51</v>
      </c>
      <c r="M36">
        <v>74789</v>
      </c>
      <c r="N36" s="1" t="s">
        <v>30</v>
      </c>
      <c r="O36">
        <v>8101</v>
      </c>
      <c r="P36" s="1" t="s">
        <v>61</v>
      </c>
      <c r="Q36">
        <v>14</v>
      </c>
      <c r="R36">
        <v>5</v>
      </c>
      <c r="S36" s="1" t="s">
        <v>45</v>
      </c>
      <c r="T36" s="1" t="s">
        <v>62</v>
      </c>
      <c r="U36" s="1" t="s">
        <v>44</v>
      </c>
    </row>
    <row r="37" spans="1:21" x14ac:dyDescent="0.25">
      <c r="A37">
        <v>8445</v>
      </c>
      <c r="B37" s="1" t="s">
        <v>134</v>
      </c>
      <c r="C37" s="1" t="s">
        <v>22</v>
      </c>
      <c r="D37">
        <v>24</v>
      </c>
      <c r="E37" s="1" t="s">
        <v>23</v>
      </c>
      <c r="F37" s="1" t="s">
        <v>89</v>
      </c>
      <c r="G37" s="1" t="s">
        <v>25</v>
      </c>
      <c r="H37" s="1" t="s">
        <v>57</v>
      </c>
      <c r="I37" s="1" t="s">
        <v>135</v>
      </c>
      <c r="J37" s="2">
        <v>42725</v>
      </c>
      <c r="K37" s="1" t="s">
        <v>28</v>
      </c>
      <c r="L37" s="1" t="s">
        <v>51</v>
      </c>
      <c r="M37">
        <v>30137</v>
      </c>
      <c r="N37" s="1" t="s">
        <v>43</v>
      </c>
      <c r="O37">
        <v>4031</v>
      </c>
      <c r="P37" s="1" t="s">
        <v>44</v>
      </c>
      <c r="Q37">
        <v>5</v>
      </c>
      <c r="R37">
        <v>3</v>
      </c>
      <c r="S37" s="1" t="s">
        <v>44</v>
      </c>
      <c r="T37" s="1" t="s">
        <v>53</v>
      </c>
      <c r="U37" s="1" t="s">
        <v>34</v>
      </c>
    </row>
    <row r="38" spans="1:21" x14ac:dyDescent="0.25">
      <c r="A38">
        <v>1550</v>
      </c>
      <c r="B38" s="1" t="s">
        <v>136</v>
      </c>
      <c r="C38" s="1" t="s">
        <v>36</v>
      </c>
      <c r="D38">
        <v>21</v>
      </c>
      <c r="E38" s="1" t="s">
        <v>23</v>
      </c>
      <c r="F38" s="1" t="s">
        <v>38</v>
      </c>
      <c r="G38" s="1" t="s">
        <v>25</v>
      </c>
      <c r="H38" s="1" t="s">
        <v>26</v>
      </c>
      <c r="I38" s="1" t="s">
        <v>137</v>
      </c>
      <c r="J38" s="2">
        <v>43643</v>
      </c>
      <c r="K38" s="1" t="s">
        <v>28</v>
      </c>
      <c r="L38" s="1" t="s">
        <v>51</v>
      </c>
      <c r="M38">
        <v>95510</v>
      </c>
      <c r="N38" s="1" t="s">
        <v>30</v>
      </c>
      <c r="O38">
        <v>6811</v>
      </c>
      <c r="P38" s="1" t="s">
        <v>31</v>
      </c>
      <c r="Q38">
        <v>18</v>
      </c>
      <c r="R38">
        <v>4</v>
      </c>
      <c r="S38" s="1" t="s">
        <v>45</v>
      </c>
      <c r="T38" s="1" t="s">
        <v>84</v>
      </c>
      <c r="U38" s="1" t="s">
        <v>34</v>
      </c>
    </row>
    <row r="39" spans="1:21" x14ac:dyDescent="0.25">
      <c r="A39">
        <v>9968</v>
      </c>
      <c r="B39" s="1" t="s">
        <v>138</v>
      </c>
      <c r="C39" s="1" t="s">
        <v>36</v>
      </c>
      <c r="D39">
        <v>58</v>
      </c>
      <c r="E39" s="1" t="s">
        <v>64</v>
      </c>
      <c r="F39" s="1" t="s">
        <v>38</v>
      </c>
      <c r="G39" s="1" t="s">
        <v>67</v>
      </c>
      <c r="H39" s="1" t="s">
        <v>26</v>
      </c>
      <c r="I39" s="1" t="s">
        <v>139</v>
      </c>
      <c r="J39" s="2">
        <v>44435</v>
      </c>
      <c r="K39" s="1" t="s">
        <v>59</v>
      </c>
      <c r="L39" s="1" t="s">
        <v>29</v>
      </c>
      <c r="M39">
        <v>80325</v>
      </c>
      <c r="N39" s="1" t="s">
        <v>43</v>
      </c>
      <c r="O39">
        <v>6230</v>
      </c>
      <c r="P39" s="1" t="s">
        <v>31</v>
      </c>
      <c r="Q39">
        <v>5</v>
      </c>
      <c r="R39">
        <v>4</v>
      </c>
      <c r="S39" s="1" t="s">
        <v>44</v>
      </c>
      <c r="T39" s="1" t="s">
        <v>62</v>
      </c>
      <c r="U39" s="1" t="s">
        <v>54</v>
      </c>
    </row>
    <row r="40" spans="1:21" x14ac:dyDescent="0.25">
      <c r="A40">
        <v>8029</v>
      </c>
      <c r="B40" s="1" t="s">
        <v>140</v>
      </c>
      <c r="C40" s="1" t="s">
        <v>22</v>
      </c>
      <c r="D40">
        <v>57</v>
      </c>
      <c r="E40" s="1" t="s">
        <v>64</v>
      </c>
      <c r="F40" s="1" t="s">
        <v>73</v>
      </c>
      <c r="G40" s="1" t="s">
        <v>102</v>
      </c>
      <c r="H40" s="1" t="s">
        <v>74</v>
      </c>
      <c r="I40" s="1" t="s">
        <v>141</v>
      </c>
      <c r="J40" s="2">
        <v>42883</v>
      </c>
      <c r="K40" s="1" t="s">
        <v>95</v>
      </c>
      <c r="L40" s="1" t="s">
        <v>42</v>
      </c>
      <c r="M40">
        <v>34109</v>
      </c>
      <c r="N40" s="1" t="s">
        <v>43</v>
      </c>
      <c r="O40">
        <v>9232</v>
      </c>
      <c r="P40" s="1" t="s">
        <v>31</v>
      </c>
      <c r="Q40">
        <v>13</v>
      </c>
      <c r="R40">
        <v>3</v>
      </c>
      <c r="S40" s="1" t="s">
        <v>32</v>
      </c>
      <c r="T40" s="1" t="s">
        <v>33</v>
      </c>
      <c r="U40" s="1" t="s">
        <v>34</v>
      </c>
    </row>
    <row r="41" spans="1:21" x14ac:dyDescent="0.25">
      <c r="A41">
        <v>8847</v>
      </c>
      <c r="B41" s="1" t="s">
        <v>142</v>
      </c>
      <c r="C41" s="1" t="s">
        <v>36</v>
      </c>
      <c r="D41">
        <v>41</v>
      </c>
      <c r="E41" s="1" t="s">
        <v>56</v>
      </c>
      <c r="F41" s="1" t="s">
        <v>73</v>
      </c>
      <c r="G41" s="1" t="s">
        <v>67</v>
      </c>
      <c r="H41" s="1" t="s">
        <v>26</v>
      </c>
      <c r="I41" s="1" t="s">
        <v>143</v>
      </c>
      <c r="J41" s="2">
        <v>44591</v>
      </c>
      <c r="K41" s="1" t="s">
        <v>95</v>
      </c>
      <c r="L41" s="1" t="s">
        <v>51</v>
      </c>
      <c r="M41">
        <v>73330</v>
      </c>
      <c r="N41" s="1" t="s">
        <v>30</v>
      </c>
      <c r="O41">
        <v>2276</v>
      </c>
      <c r="P41" s="1" t="s">
        <v>61</v>
      </c>
      <c r="Q41">
        <v>5</v>
      </c>
      <c r="R41">
        <v>1</v>
      </c>
      <c r="S41" s="1" t="s">
        <v>44</v>
      </c>
      <c r="T41" s="1" t="s">
        <v>53</v>
      </c>
      <c r="U41" s="1" t="s">
        <v>54</v>
      </c>
    </row>
    <row r="42" spans="1:21" x14ac:dyDescent="0.25">
      <c r="A42">
        <v>1955</v>
      </c>
      <c r="B42" s="1" t="s">
        <v>144</v>
      </c>
      <c r="C42" s="1" t="s">
        <v>22</v>
      </c>
      <c r="D42">
        <v>58</v>
      </c>
      <c r="E42" s="1" t="s">
        <v>64</v>
      </c>
      <c r="F42" s="1" t="s">
        <v>47</v>
      </c>
      <c r="G42" s="1" t="s">
        <v>48</v>
      </c>
      <c r="H42" s="1" t="s">
        <v>40</v>
      </c>
      <c r="I42" s="1" t="s">
        <v>145</v>
      </c>
      <c r="J42" s="2">
        <v>42845</v>
      </c>
      <c r="K42" s="1" t="s">
        <v>59</v>
      </c>
      <c r="L42" s="1" t="s">
        <v>51</v>
      </c>
      <c r="M42">
        <v>46567</v>
      </c>
      <c r="N42" s="1" t="s">
        <v>60</v>
      </c>
      <c r="O42">
        <v>2825</v>
      </c>
      <c r="P42" s="1" t="s">
        <v>31</v>
      </c>
      <c r="Q42">
        <v>15</v>
      </c>
      <c r="R42">
        <v>3</v>
      </c>
      <c r="S42" s="1" t="s">
        <v>44</v>
      </c>
      <c r="T42" s="1" t="s">
        <v>84</v>
      </c>
      <c r="U42" s="1" t="s">
        <v>54</v>
      </c>
    </row>
    <row r="43" spans="1:21" x14ac:dyDescent="0.25">
      <c r="A43">
        <v>4522</v>
      </c>
      <c r="B43" s="1" t="s">
        <v>146</v>
      </c>
      <c r="C43" s="1" t="s">
        <v>22</v>
      </c>
      <c r="D43">
        <v>36</v>
      </c>
      <c r="E43" s="1" t="s">
        <v>56</v>
      </c>
      <c r="F43" s="1" t="s">
        <v>24</v>
      </c>
      <c r="G43" s="1" t="s">
        <v>102</v>
      </c>
      <c r="H43" s="1" t="s">
        <v>26</v>
      </c>
      <c r="I43" s="1" t="s">
        <v>147</v>
      </c>
      <c r="J43" s="2">
        <v>43668</v>
      </c>
      <c r="K43" s="1" t="s">
        <v>59</v>
      </c>
      <c r="L43" s="1" t="s">
        <v>42</v>
      </c>
      <c r="M43">
        <v>39795</v>
      </c>
      <c r="N43" s="1" t="s">
        <v>60</v>
      </c>
      <c r="O43">
        <v>1670</v>
      </c>
      <c r="P43" s="1" t="s">
        <v>44</v>
      </c>
      <c r="Q43">
        <v>0</v>
      </c>
      <c r="R43">
        <v>2</v>
      </c>
      <c r="S43" s="1" t="s">
        <v>45</v>
      </c>
      <c r="T43" s="1" t="s">
        <v>69</v>
      </c>
      <c r="U43" s="1" t="s">
        <v>44</v>
      </c>
    </row>
    <row r="44" spans="1:21" x14ac:dyDescent="0.25">
      <c r="A44">
        <v>3078</v>
      </c>
      <c r="B44" s="1" t="s">
        <v>148</v>
      </c>
      <c r="C44" s="1" t="s">
        <v>22</v>
      </c>
      <c r="D44">
        <v>21</v>
      </c>
      <c r="E44" s="1" t="s">
        <v>23</v>
      </c>
      <c r="F44" s="1" t="s">
        <v>24</v>
      </c>
      <c r="G44" s="1" t="s">
        <v>25</v>
      </c>
      <c r="H44" s="1" t="s">
        <v>74</v>
      </c>
      <c r="I44" s="1" t="s">
        <v>149</v>
      </c>
      <c r="J44" s="2">
        <v>43433</v>
      </c>
      <c r="K44" s="1" t="s">
        <v>59</v>
      </c>
      <c r="L44" s="1" t="s">
        <v>51</v>
      </c>
      <c r="M44">
        <v>59506</v>
      </c>
      <c r="N44" s="1" t="s">
        <v>60</v>
      </c>
      <c r="O44">
        <v>4428</v>
      </c>
      <c r="P44" s="1" t="s">
        <v>61</v>
      </c>
      <c r="Q44">
        <v>0</v>
      </c>
      <c r="R44">
        <v>1</v>
      </c>
      <c r="S44" s="1" t="s">
        <v>44</v>
      </c>
      <c r="T44" s="1" t="s">
        <v>69</v>
      </c>
      <c r="U44" s="1" t="s">
        <v>34</v>
      </c>
    </row>
    <row r="45" spans="1:21" x14ac:dyDescent="0.25">
      <c r="A45">
        <v>6357</v>
      </c>
      <c r="B45" s="1" t="s">
        <v>150</v>
      </c>
      <c r="C45" s="1" t="s">
        <v>22</v>
      </c>
      <c r="D45">
        <v>46</v>
      </c>
      <c r="E45" s="1" t="s">
        <v>86</v>
      </c>
      <c r="F45" s="1" t="s">
        <v>47</v>
      </c>
      <c r="G45" s="1" t="s">
        <v>39</v>
      </c>
      <c r="H45" s="1" t="s">
        <v>74</v>
      </c>
      <c r="I45" s="1" t="s">
        <v>151</v>
      </c>
      <c r="J45" s="2">
        <v>44879</v>
      </c>
      <c r="K45" s="1" t="s">
        <v>59</v>
      </c>
      <c r="L45" s="1" t="s">
        <v>51</v>
      </c>
      <c r="M45">
        <v>49058</v>
      </c>
      <c r="N45" s="1" t="s">
        <v>43</v>
      </c>
      <c r="O45">
        <v>4396</v>
      </c>
      <c r="P45" s="1" t="s">
        <v>44</v>
      </c>
      <c r="Q45">
        <v>5</v>
      </c>
      <c r="R45">
        <v>1</v>
      </c>
      <c r="S45" s="1" t="s">
        <v>44</v>
      </c>
      <c r="T45" s="1" t="s">
        <v>69</v>
      </c>
      <c r="U45" s="1" t="s">
        <v>44</v>
      </c>
    </row>
    <row r="46" spans="1:21" x14ac:dyDescent="0.25">
      <c r="A46">
        <v>7951</v>
      </c>
      <c r="B46" s="1" t="s">
        <v>152</v>
      </c>
      <c r="C46" s="1" t="s">
        <v>22</v>
      </c>
      <c r="D46">
        <v>36</v>
      </c>
      <c r="E46" s="1" t="s">
        <v>56</v>
      </c>
      <c r="F46" s="1" t="s">
        <v>73</v>
      </c>
      <c r="G46" s="1" t="s">
        <v>48</v>
      </c>
      <c r="H46" s="1" t="s">
        <v>74</v>
      </c>
      <c r="I46" s="1" t="s">
        <v>153</v>
      </c>
      <c r="J46" s="2">
        <v>42423</v>
      </c>
      <c r="K46" s="1" t="s">
        <v>59</v>
      </c>
      <c r="L46" s="1" t="s">
        <v>29</v>
      </c>
      <c r="M46">
        <v>98612</v>
      </c>
      <c r="N46" s="1" t="s">
        <v>60</v>
      </c>
      <c r="O46">
        <v>1168</v>
      </c>
      <c r="P46" s="1" t="s">
        <v>44</v>
      </c>
      <c r="Q46">
        <v>9</v>
      </c>
      <c r="R46">
        <v>2</v>
      </c>
      <c r="S46" s="1" t="s">
        <v>45</v>
      </c>
      <c r="T46" s="1" t="s">
        <v>33</v>
      </c>
      <c r="U46" s="1" t="s">
        <v>34</v>
      </c>
    </row>
    <row r="47" spans="1:21" x14ac:dyDescent="0.25">
      <c r="A47">
        <v>9228</v>
      </c>
      <c r="B47" s="1" t="s">
        <v>154</v>
      </c>
      <c r="C47" s="1" t="s">
        <v>36</v>
      </c>
      <c r="D47">
        <v>41</v>
      </c>
      <c r="E47" s="1" t="s">
        <v>56</v>
      </c>
      <c r="F47" s="1" t="s">
        <v>89</v>
      </c>
      <c r="G47" s="1" t="s">
        <v>67</v>
      </c>
      <c r="H47" s="1" t="s">
        <v>40</v>
      </c>
      <c r="I47" s="1" t="s">
        <v>155</v>
      </c>
      <c r="J47" s="2">
        <v>43238</v>
      </c>
      <c r="K47" s="1" t="s">
        <v>95</v>
      </c>
      <c r="L47" s="1" t="s">
        <v>42</v>
      </c>
      <c r="M47">
        <v>38201</v>
      </c>
      <c r="N47" s="1" t="s">
        <v>60</v>
      </c>
      <c r="O47">
        <v>7111</v>
      </c>
      <c r="P47" s="1" t="s">
        <v>31</v>
      </c>
      <c r="Q47">
        <v>8</v>
      </c>
      <c r="R47">
        <v>4</v>
      </c>
      <c r="S47" s="1" t="s">
        <v>32</v>
      </c>
      <c r="T47" s="1" t="s">
        <v>69</v>
      </c>
      <c r="U47" s="1" t="s">
        <v>44</v>
      </c>
    </row>
    <row r="48" spans="1:21" x14ac:dyDescent="0.25">
      <c r="A48">
        <v>8988</v>
      </c>
      <c r="B48" s="1" t="s">
        <v>156</v>
      </c>
      <c r="C48" s="1" t="s">
        <v>36</v>
      </c>
      <c r="D48">
        <v>25</v>
      </c>
      <c r="E48" s="1" t="s">
        <v>23</v>
      </c>
      <c r="F48" s="1" t="s">
        <v>24</v>
      </c>
      <c r="G48" s="1" t="s">
        <v>48</v>
      </c>
      <c r="H48" s="1" t="s">
        <v>49</v>
      </c>
      <c r="I48" s="1" t="s">
        <v>157</v>
      </c>
      <c r="J48" s="2">
        <v>45360</v>
      </c>
      <c r="K48" s="1" t="s">
        <v>95</v>
      </c>
      <c r="L48" s="1" t="s">
        <v>42</v>
      </c>
      <c r="M48">
        <v>92919</v>
      </c>
      <c r="N48" s="1" t="s">
        <v>52</v>
      </c>
      <c r="O48">
        <v>9497</v>
      </c>
      <c r="P48" s="1" t="s">
        <v>31</v>
      </c>
      <c r="Q48">
        <v>7</v>
      </c>
      <c r="R48">
        <v>2</v>
      </c>
      <c r="S48" s="1" t="s">
        <v>44</v>
      </c>
      <c r="T48" s="1" t="s">
        <v>69</v>
      </c>
      <c r="U48" s="1" t="s">
        <v>54</v>
      </c>
    </row>
    <row r="49" spans="1:21" x14ac:dyDescent="0.25">
      <c r="A49">
        <v>1952</v>
      </c>
      <c r="B49" s="1" t="s">
        <v>158</v>
      </c>
      <c r="C49" s="1" t="s">
        <v>22</v>
      </c>
      <c r="D49">
        <v>29</v>
      </c>
      <c r="E49" s="1" t="s">
        <v>37</v>
      </c>
      <c r="F49" s="1" t="s">
        <v>89</v>
      </c>
      <c r="G49" s="1" t="s">
        <v>25</v>
      </c>
      <c r="H49" s="1" t="s">
        <v>40</v>
      </c>
      <c r="I49" s="1" t="s">
        <v>159</v>
      </c>
      <c r="J49" s="2">
        <v>45378</v>
      </c>
      <c r="K49" s="1" t="s">
        <v>28</v>
      </c>
      <c r="L49" s="1" t="s">
        <v>51</v>
      </c>
      <c r="M49">
        <v>45188</v>
      </c>
      <c r="N49" s="1" t="s">
        <v>60</v>
      </c>
      <c r="O49">
        <v>9591</v>
      </c>
      <c r="P49" s="1" t="s">
        <v>61</v>
      </c>
      <c r="Q49">
        <v>18</v>
      </c>
      <c r="R49">
        <v>3</v>
      </c>
      <c r="S49" s="1" t="s">
        <v>32</v>
      </c>
      <c r="T49" s="1" t="s">
        <v>69</v>
      </c>
      <c r="U49" s="1" t="s">
        <v>44</v>
      </c>
    </row>
    <row r="50" spans="1:21" x14ac:dyDescent="0.25">
      <c r="A50">
        <v>5760</v>
      </c>
      <c r="B50" s="1" t="s">
        <v>160</v>
      </c>
      <c r="C50" s="1" t="s">
        <v>22</v>
      </c>
      <c r="D50">
        <v>59</v>
      </c>
      <c r="E50" s="1" t="s">
        <v>64</v>
      </c>
      <c r="F50" s="1" t="s">
        <v>47</v>
      </c>
      <c r="G50" s="1" t="s">
        <v>39</v>
      </c>
      <c r="H50" s="1" t="s">
        <v>26</v>
      </c>
      <c r="I50" s="1" t="s">
        <v>161</v>
      </c>
      <c r="J50" s="2">
        <v>43822</v>
      </c>
      <c r="K50" s="1" t="s">
        <v>28</v>
      </c>
      <c r="L50" s="1" t="s">
        <v>42</v>
      </c>
      <c r="M50">
        <v>34927</v>
      </c>
      <c r="N50" s="1" t="s">
        <v>52</v>
      </c>
      <c r="O50">
        <v>6996</v>
      </c>
      <c r="P50" s="1" t="s">
        <v>61</v>
      </c>
      <c r="Q50">
        <v>16</v>
      </c>
      <c r="R50">
        <v>1</v>
      </c>
      <c r="S50" s="1" t="s">
        <v>45</v>
      </c>
      <c r="T50" s="1" t="s">
        <v>33</v>
      </c>
      <c r="U50" s="1" t="s">
        <v>34</v>
      </c>
    </row>
    <row r="51" spans="1:21" x14ac:dyDescent="0.25">
      <c r="A51">
        <v>5742</v>
      </c>
      <c r="B51" s="1" t="s">
        <v>162</v>
      </c>
      <c r="C51" s="1" t="s">
        <v>22</v>
      </c>
      <c r="D51">
        <v>27</v>
      </c>
      <c r="E51" s="1" t="s">
        <v>37</v>
      </c>
      <c r="F51" s="1" t="s">
        <v>24</v>
      </c>
      <c r="G51" s="1" t="s">
        <v>48</v>
      </c>
      <c r="H51" s="1" t="s">
        <v>57</v>
      </c>
      <c r="I51" s="1" t="s">
        <v>163</v>
      </c>
      <c r="J51" s="2">
        <v>42607</v>
      </c>
      <c r="K51" s="1" t="s">
        <v>28</v>
      </c>
      <c r="L51" s="1" t="s">
        <v>42</v>
      </c>
      <c r="M51">
        <v>33183</v>
      </c>
      <c r="N51" s="1" t="s">
        <v>60</v>
      </c>
      <c r="O51">
        <v>1659</v>
      </c>
      <c r="P51" s="1" t="s">
        <v>44</v>
      </c>
      <c r="Q51">
        <v>11</v>
      </c>
      <c r="R51">
        <v>1</v>
      </c>
      <c r="S51" s="1" t="s">
        <v>32</v>
      </c>
      <c r="T51" s="1" t="s">
        <v>62</v>
      </c>
      <c r="U51" s="1" t="s">
        <v>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8CDE9-6686-44EF-A023-7E9C42FE99B8}">
  <dimension ref="A1:U51"/>
  <sheetViews>
    <sheetView workbookViewId="0">
      <selection activeCell="C6" sqref="C6"/>
    </sheetView>
  </sheetViews>
  <sheetFormatPr defaultRowHeight="15" x14ac:dyDescent="0.25"/>
  <cols>
    <col min="1" max="1" width="14.42578125" bestFit="1" customWidth="1"/>
    <col min="2" max="2" width="17.42578125" bestFit="1" customWidth="1"/>
    <col min="3" max="3" width="10" bestFit="1" customWidth="1"/>
    <col min="4" max="4" width="6.7109375" bestFit="1" customWidth="1"/>
    <col min="5" max="5" width="12.140625" bestFit="1" customWidth="1"/>
    <col min="6" max="6" width="9.42578125" bestFit="1" customWidth="1"/>
    <col min="7" max="7" width="12.28515625" bestFit="1" customWidth="1"/>
    <col min="8" max="8" width="14" bestFit="1" customWidth="1"/>
    <col min="9" max="9" width="21.7109375" bestFit="1" customWidth="1"/>
    <col min="10" max="10" width="13.85546875" bestFit="1" customWidth="1"/>
    <col min="11" max="11" width="20.7109375" bestFit="1" customWidth="1"/>
    <col min="12" max="12" width="16.140625" bestFit="1" customWidth="1"/>
    <col min="13" max="13" width="8.5703125" bestFit="1" customWidth="1"/>
    <col min="14" max="14" width="12.28515625" bestFit="1" customWidth="1"/>
    <col min="15" max="15" width="20" bestFit="1" customWidth="1"/>
    <col min="16" max="16" width="18.5703125" bestFit="1" customWidth="1"/>
    <col min="17" max="17" width="14.140625" bestFit="1" customWidth="1"/>
    <col min="18" max="18" width="21" bestFit="1" customWidth="1"/>
    <col min="19" max="19" width="28.5703125" bestFit="1" customWidth="1"/>
    <col min="20" max="20" width="15.140625" bestFit="1" customWidth="1"/>
    <col min="21" max="21" width="20.5703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4294</v>
      </c>
      <c r="B2" s="1" t="s">
        <v>21</v>
      </c>
      <c r="C2" s="1" t="s">
        <v>22</v>
      </c>
      <c r="D2">
        <v>25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2">
        <v>43539</v>
      </c>
      <c r="K2" s="1" t="s">
        <v>28</v>
      </c>
      <c r="L2" s="1" t="s">
        <v>29</v>
      </c>
      <c r="M2">
        <v>53700</v>
      </c>
      <c r="N2" s="1" t="s">
        <v>30</v>
      </c>
      <c r="O2">
        <v>1463</v>
      </c>
      <c r="P2" s="1" t="s">
        <v>31</v>
      </c>
      <c r="Q2">
        <v>1</v>
      </c>
      <c r="R2">
        <v>1</v>
      </c>
      <c r="S2" s="1" t="s">
        <v>32</v>
      </c>
      <c r="T2" s="1" t="s">
        <v>33</v>
      </c>
      <c r="U2" s="1" t="s">
        <v>34</v>
      </c>
    </row>
    <row r="3" spans="1:21" x14ac:dyDescent="0.25">
      <c r="A3">
        <v>9116</v>
      </c>
      <c r="B3" s="1" t="s">
        <v>35</v>
      </c>
      <c r="C3" s="1" t="s">
        <v>36</v>
      </c>
      <c r="D3">
        <v>27</v>
      </c>
      <c r="E3" s="1" t="s">
        <v>37</v>
      </c>
      <c r="F3" s="1" t="s">
        <v>38</v>
      </c>
      <c r="G3" s="1" t="s">
        <v>39</v>
      </c>
      <c r="H3" s="1" t="s">
        <v>40</v>
      </c>
      <c r="I3" s="1" t="s">
        <v>41</v>
      </c>
      <c r="J3" s="2">
        <v>44915</v>
      </c>
      <c r="K3" s="1" t="s">
        <v>28</v>
      </c>
      <c r="L3" s="1" t="s">
        <v>42</v>
      </c>
      <c r="M3">
        <v>91091</v>
      </c>
      <c r="N3" s="1" t="s">
        <v>43</v>
      </c>
      <c r="O3">
        <v>1024</v>
      </c>
      <c r="P3" s="1" t="s">
        <v>44</v>
      </c>
      <c r="Q3">
        <v>19</v>
      </c>
      <c r="R3">
        <v>4</v>
      </c>
      <c r="S3" s="1" t="s">
        <v>45</v>
      </c>
      <c r="T3" s="1" t="s">
        <v>33</v>
      </c>
      <c r="U3" s="1" t="s">
        <v>34</v>
      </c>
    </row>
    <row r="4" spans="1:21" x14ac:dyDescent="0.25">
      <c r="A4">
        <v>5120</v>
      </c>
      <c r="B4" s="1" t="s">
        <v>46</v>
      </c>
      <c r="C4" s="1" t="s">
        <v>36</v>
      </c>
      <c r="D4">
        <v>34</v>
      </c>
      <c r="E4" s="1" t="s">
        <v>37</v>
      </c>
      <c r="F4" s="1" t="s">
        <v>47</v>
      </c>
      <c r="G4" s="1" t="s">
        <v>48</v>
      </c>
      <c r="H4" s="1" t="s">
        <v>49</v>
      </c>
      <c r="I4" s="1" t="s">
        <v>50</v>
      </c>
      <c r="J4" s="2">
        <v>44783</v>
      </c>
      <c r="K4" s="1" t="s">
        <v>28</v>
      </c>
      <c r="L4" s="1" t="s">
        <v>51</v>
      </c>
      <c r="M4">
        <v>57538</v>
      </c>
      <c r="N4" s="1" t="s">
        <v>52</v>
      </c>
      <c r="O4">
        <v>1674</v>
      </c>
      <c r="P4" s="1" t="s">
        <v>44</v>
      </c>
      <c r="Q4">
        <v>8</v>
      </c>
      <c r="R4">
        <v>1</v>
      </c>
      <c r="S4" s="1" t="s">
        <v>44</v>
      </c>
      <c r="T4" s="1" t="s">
        <v>53</v>
      </c>
      <c r="U4" s="1" t="s">
        <v>54</v>
      </c>
    </row>
    <row r="5" spans="1:21" x14ac:dyDescent="0.25">
      <c r="A5">
        <v>8071</v>
      </c>
      <c r="B5" s="1" t="s">
        <v>55</v>
      </c>
      <c r="C5" s="1" t="s">
        <v>22</v>
      </c>
      <c r="D5">
        <v>41</v>
      </c>
      <c r="E5" s="1" t="s">
        <v>56</v>
      </c>
      <c r="F5" s="1" t="s">
        <v>47</v>
      </c>
      <c r="G5" s="1" t="s">
        <v>25</v>
      </c>
      <c r="H5" s="1" t="s">
        <v>57</v>
      </c>
      <c r="I5" s="1" t="s">
        <v>58</v>
      </c>
      <c r="J5" s="2">
        <v>45538</v>
      </c>
      <c r="K5" s="1" t="s">
        <v>59</v>
      </c>
      <c r="L5" s="1" t="s">
        <v>29</v>
      </c>
      <c r="M5">
        <v>62993</v>
      </c>
      <c r="N5" s="1" t="s">
        <v>60</v>
      </c>
      <c r="O5">
        <v>2695</v>
      </c>
      <c r="P5" s="1" t="s">
        <v>61</v>
      </c>
      <c r="Q5">
        <v>0</v>
      </c>
      <c r="R5">
        <v>2</v>
      </c>
      <c r="S5" s="1" t="s">
        <v>44</v>
      </c>
      <c r="T5" s="1" t="s">
        <v>62</v>
      </c>
      <c r="U5" s="1" t="s">
        <v>44</v>
      </c>
    </row>
    <row r="6" spans="1:21" x14ac:dyDescent="0.25">
      <c r="A6">
        <v>9351</v>
      </c>
      <c r="B6" s="1" t="s">
        <v>63</v>
      </c>
      <c r="C6" s="1" t="s">
        <v>36</v>
      </c>
      <c r="D6">
        <v>56</v>
      </c>
      <c r="E6" s="1" t="s">
        <v>64</v>
      </c>
      <c r="F6" s="1" t="s">
        <v>24</v>
      </c>
      <c r="G6" s="1" t="s">
        <v>25</v>
      </c>
      <c r="H6" s="1" t="s">
        <v>49</v>
      </c>
      <c r="I6" s="1" t="s">
        <v>65</v>
      </c>
      <c r="J6" s="2">
        <v>43538</v>
      </c>
      <c r="K6" s="1" t="s">
        <v>59</v>
      </c>
      <c r="L6" s="1" t="s">
        <v>42</v>
      </c>
      <c r="M6">
        <v>45773</v>
      </c>
      <c r="N6" s="1" t="s">
        <v>60</v>
      </c>
      <c r="O6">
        <v>8776</v>
      </c>
      <c r="P6" s="1" t="s">
        <v>31</v>
      </c>
      <c r="Q6">
        <v>16</v>
      </c>
      <c r="R6">
        <v>4</v>
      </c>
      <c r="S6" s="1" t="s">
        <v>32</v>
      </c>
      <c r="T6" s="1" t="s">
        <v>62</v>
      </c>
      <c r="U6" s="1" t="s">
        <v>44</v>
      </c>
    </row>
    <row r="7" spans="1:21" x14ac:dyDescent="0.25">
      <c r="A7">
        <v>2873</v>
      </c>
      <c r="B7" s="1" t="s">
        <v>66</v>
      </c>
      <c r="C7" s="1" t="s">
        <v>22</v>
      </c>
      <c r="D7">
        <v>28</v>
      </c>
      <c r="E7" s="1" t="s">
        <v>37</v>
      </c>
      <c r="F7" s="1" t="s">
        <v>47</v>
      </c>
      <c r="G7" s="1" t="s">
        <v>67</v>
      </c>
      <c r="H7" s="1" t="s">
        <v>49</v>
      </c>
      <c r="I7" s="1" t="s">
        <v>68</v>
      </c>
      <c r="J7" s="2">
        <v>42758</v>
      </c>
      <c r="K7" s="1" t="s">
        <v>28</v>
      </c>
      <c r="L7" s="1" t="s">
        <v>42</v>
      </c>
      <c r="M7">
        <v>96249</v>
      </c>
      <c r="N7" s="1" t="s">
        <v>30</v>
      </c>
      <c r="O7">
        <v>4826</v>
      </c>
      <c r="P7" s="1" t="s">
        <v>61</v>
      </c>
      <c r="Q7">
        <v>7</v>
      </c>
      <c r="R7">
        <v>3</v>
      </c>
      <c r="S7" s="1" t="s">
        <v>32</v>
      </c>
      <c r="T7" s="1" t="s">
        <v>69</v>
      </c>
      <c r="U7" s="1" t="s">
        <v>34</v>
      </c>
    </row>
    <row r="8" spans="1:21" x14ac:dyDescent="0.25">
      <c r="A8">
        <v>3540</v>
      </c>
      <c r="B8" s="1" t="s">
        <v>70</v>
      </c>
      <c r="C8" s="1" t="s">
        <v>22</v>
      </c>
      <c r="D8">
        <v>20</v>
      </c>
      <c r="E8" s="1" t="s">
        <v>23</v>
      </c>
      <c r="F8" s="1" t="s">
        <v>38</v>
      </c>
      <c r="G8" s="1" t="s">
        <v>48</v>
      </c>
      <c r="H8" s="1" t="s">
        <v>49</v>
      </c>
      <c r="I8" s="1" t="s">
        <v>71</v>
      </c>
      <c r="J8" s="2">
        <v>45521</v>
      </c>
      <c r="K8" s="1" t="s">
        <v>28</v>
      </c>
      <c r="L8" s="1" t="s">
        <v>51</v>
      </c>
      <c r="M8">
        <v>61596</v>
      </c>
      <c r="N8" s="1" t="s">
        <v>30</v>
      </c>
      <c r="O8">
        <v>8818</v>
      </c>
      <c r="P8" s="1" t="s">
        <v>61</v>
      </c>
      <c r="Q8">
        <v>4</v>
      </c>
      <c r="R8">
        <v>2</v>
      </c>
      <c r="S8" s="1" t="s">
        <v>32</v>
      </c>
      <c r="T8" s="1" t="s">
        <v>53</v>
      </c>
      <c r="U8" s="1" t="s">
        <v>44</v>
      </c>
    </row>
    <row r="9" spans="1:21" x14ac:dyDescent="0.25">
      <c r="A9">
        <v>3653</v>
      </c>
      <c r="B9" s="1" t="s">
        <v>72</v>
      </c>
      <c r="C9" s="1" t="s">
        <v>22</v>
      </c>
      <c r="D9">
        <v>58</v>
      </c>
      <c r="E9" s="1" t="s">
        <v>64</v>
      </c>
      <c r="F9" s="1" t="s">
        <v>73</v>
      </c>
      <c r="G9" s="1" t="s">
        <v>39</v>
      </c>
      <c r="H9" s="1" t="s">
        <v>74</v>
      </c>
      <c r="I9" s="1" t="s">
        <v>75</v>
      </c>
      <c r="J9" s="2">
        <v>41982</v>
      </c>
      <c r="K9" s="1" t="s">
        <v>28</v>
      </c>
      <c r="L9" s="1" t="s">
        <v>51</v>
      </c>
      <c r="M9">
        <v>97869</v>
      </c>
      <c r="N9" s="1" t="s">
        <v>60</v>
      </c>
      <c r="O9">
        <v>1966</v>
      </c>
      <c r="P9" s="1" t="s">
        <v>31</v>
      </c>
      <c r="Q9">
        <v>10</v>
      </c>
      <c r="R9">
        <v>1</v>
      </c>
      <c r="S9" s="1" t="s">
        <v>32</v>
      </c>
      <c r="T9" s="1" t="s">
        <v>33</v>
      </c>
      <c r="U9" s="1" t="s">
        <v>34</v>
      </c>
    </row>
    <row r="10" spans="1:21" x14ac:dyDescent="0.25">
      <c r="A10">
        <v>5587</v>
      </c>
      <c r="B10" s="1" t="s">
        <v>76</v>
      </c>
      <c r="C10" s="1" t="s">
        <v>22</v>
      </c>
      <c r="D10">
        <v>44</v>
      </c>
      <c r="E10" s="1" t="s">
        <v>56</v>
      </c>
      <c r="F10" s="1" t="s">
        <v>73</v>
      </c>
      <c r="G10" s="1" t="s">
        <v>48</v>
      </c>
      <c r="H10" s="1" t="s">
        <v>49</v>
      </c>
      <c r="I10" s="1" t="s">
        <v>77</v>
      </c>
      <c r="J10" s="2">
        <v>44375</v>
      </c>
      <c r="K10" s="1" t="s">
        <v>28</v>
      </c>
      <c r="L10" s="1" t="s">
        <v>29</v>
      </c>
      <c r="M10">
        <v>81235</v>
      </c>
      <c r="N10" s="1" t="s">
        <v>60</v>
      </c>
      <c r="O10">
        <v>6553</v>
      </c>
      <c r="P10" s="1" t="s">
        <v>44</v>
      </c>
      <c r="Q10">
        <v>16</v>
      </c>
      <c r="R10">
        <v>2</v>
      </c>
      <c r="S10" s="1" t="s">
        <v>44</v>
      </c>
      <c r="T10" s="1" t="s">
        <v>53</v>
      </c>
      <c r="U10" s="1" t="s">
        <v>34</v>
      </c>
    </row>
    <row r="11" spans="1:21" x14ac:dyDescent="0.25">
      <c r="A11">
        <v>9554</v>
      </c>
      <c r="B11" s="1" t="s">
        <v>78</v>
      </c>
      <c r="C11" s="1" t="s">
        <v>22</v>
      </c>
      <c r="D11">
        <v>29</v>
      </c>
      <c r="E11" s="1" t="s">
        <v>37</v>
      </c>
      <c r="F11" s="1" t="s">
        <v>38</v>
      </c>
      <c r="G11" s="1" t="s">
        <v>48</v>
      </c>
      <c r="H11" s="1" t="s">
        <v>57</v>
      </c>
      <c r="I11" s="1" t="s">
        <v>79</v>
      </c>
      <c r="J11" s="2">
        <v>43240</v>
      </c>
      <c r="K11" s="1" t="s">
        <v>28</v>
      </c>
      <c r="L11" s="1" t="s">
        <v>42</v>
      </c>
      <c r="M11">
        <v>87852</v>
      </c>
      <c r="N11" s="1" t="s">
        <v>60</v>
      </c>
      <c r="O11">
        <v>4980</v>
      </c>
      <c r="P11" s="1" t="s">
        <v>61</v>
      </c>
      <c r="Q11">
        <v>19</v>
      </c>
      <c r="R11">
        <v>3</v>
      </c>
      <c r="S11" s="1" t="s">
        <v>44</v>
      </c>
      <c r="T11" s="1" t="s">
        <v>62</v>
      </c>
      <c r="U11" s="1" t="s">
        <v>34</v>
      </c>
    </row>
    <row r="12" spans="1:21" x14ac:dyDescent="0.25">
      <c r="A12">
        <v>6213</v>
      </c>
      <c r="B12" s="1" t="s">
        <v>80</v>
      </c>
      <c r="C12" s="1" t="s">
        <v>36</v>
      </c>
      <c r="D12">
        <v>23</v>
      </c>
      <c r="E12" s="1" t="s">
        <v>23</v>
      </c>
      <c r="F12" s="1" t="s">
        <v>73</v>
      </c>
      <c r="G12" s="1" t="s">
        <v>25</v>
      </c>
      <c r="H12" s="1" t="s">
        <v>49</v>
      </c>
      <c r="I12" s="1" t="s">
        <v>81</v>
      </c>
      <c r="J12" s="2">
        <v>42779</v>
      </c>
      <c r="K12" s="1" t="s">
        <v>59</v>
      </c>
      <c r="L12" s="1" t="s">
        <v>42</v>
      </c>
      <c r="M12">
        <v>59359</v>
      </c>
      <c r="N12" s="1" t="s">
        <v>60</v>
      </c>
      <c r="O12">
        <v>9449</v>
      </c>
      <c r="P12" s="1" t="s">
        <v>61</v>
      </c>
      <c r="Q12">
        <v>20</v>
      </c>
      <c r="R12">
        <v>3</v>
      </c>
      <c r="S12" s="1" t="s">
        <v>44</v>
      </c>
      <c r="T12" s="1" t="s">
        <v>53</v>
      </c>
      <c r="U12" s="1" t="s">
        <v>44</v>
      </c>
    </row>
    <row r="13" spans="1:21" x14ac:dyDescent="0.25">
      <c r="A13">
        <v>9105</v>
      </c>
      <c r="B13" s="1" t="s">
        <v>82</v>
      </c>
      <c r="C13" s="1" t="s">
        <v>36</v>
      </c>
      <c r="D13">
        <v>30</v>
      </c>
      <c r="E13" s="1" t="s">
        <v>37</v>
      </c>
      <c r="F13" s="1" t="s">
        <v>24</v>
      </c>
      <c r="G13" s="1" t="s">
        <v>39</v>
      </c>
      <c r="H13" s="1" t="s">
        <v>26</v>
      </c>
      <c r="I13" s="1" t="s">
        <v>83</v>
      </c>
      <c r="J13" s="2">
        <v>45417</v>
      </c>
      <c r="K13" s="1" t="s">
        <v>59</v>
      </c>
      <c r="L13" s="1" t="s">
        <v>51</v>
      </c>
      <c r="M13">
        <v>81225</v>
      </c>
      <c r="N13" s="1" t="s">
        <v>52</v>
      </c>
      <c r="O13">
        <v>6202</v>
      </c>
      <c r="P13" s="1" t="s">
        <v>61</v>
      </c>
      <c r="Q13">
        <v>2</v>
      </c>
      <c r="R13">
        <v>2</v>
      </c>
      <c r="S13" s="1" t="s">
        <v>45</v>
      </c>
      <c r="T13" s="1" t="s">
        <v>84</v>
      </c>
      <c r="U13" s="1" t="s">
        <v>34</v>
      </c>
    </row>
    <row r="14" spans="1:21" x14ac:dyDescent="0.25">
      <c r="A14">
        <v>9508</v>
      </c>
      <c r="B14" s="1" t="s">
        <v>85</v>
      </c>
      <c r="C14" s="1" t="s">
        <v>22</v>
      </c>
      <c r="D14">
        <v>49</v>
      </c>
      <c r="E14" s="1" t="s">
        <v>86</v>
      </c>
      <c r="F14" s="1" t="s">
        <v>38</v>
      </c>
      <c r="G14" s="1" t="s">
        <v>25</v>
      </c>
      <c r="H14" s="1" t="s">
        <v>26</v>
      </c>
      <c r="I14" s="1" t="s">
        <v>87</v>
      </c>
      <c r="J14" s="2">
        <v>44670</v>
      </c>
      <c r="K14" s="1" t="s">
        <v>59</v>
      </c>
      <c r="L14" s="1" t="s">
        <v>29</v>
      </c>
      <c r="M14">
        <v>32788</v>
      </c>
      <c r="N14" s="1" t="s">
        <v>52</v>
      </c>
      <c r="O14">
        <v>4396</v>
      </c>
      <c r="P14" s="1" t="s">
        <v>31</v>
      </c>
      <c r="Q14">
        <v>13</v>
      </c>
      <c r="R14">
        <v>5</v>
      </c>
      <c r="S14" s="1" t="s">
        <v>44</v>
      </c>
      <c r="T14" s="1" t="s">
        <v>69</v>
      </c>
      <c r="U14" s="1" t="s">
        <v>54</v>
      </c>
    </row>
    <row r="15" spans="1:21" x14ac:dyDescent="0.25">
      <c r="A15">
        <v>2436</v>
      </c>
      <c r="B15" s="1" t="s">
        <v>88</v>
      </c>
      <c r="C15" s="1" t="s">
        <v>36</v>
      </c>
      <c r="D15">
        <v>60</v>
      </c>
      <c r="E15" s="1" t="s">
        <v>64</v>
      </c>
      <c r="F15" s="1" t="s">
        <v>89</v>
      </c>
      <c r="G15" s="1" t="s">
        <v>25</v>
      </c>
      <c r="H15" s="1" t="s">
        <v>57</v>
      </c>
      <c r="I15" s="1" t="s">
        <v>90</v>
      </c>
      <c r="J15" s="2">
        <v>42324</v>
      </c>
      <c r="K15" s="1" t="s">
        <v>59</v>
      </c>
      <c r="L15" s="1" t="s">
        <v>51</v>
      </c>
      <c r="M15">
        <v>70452</v>
      </c>
      <c r="N15" s="1" t="s">
        <v>52</v>
      </c>
      <c r="O15">
        <v>9911</v>
      </c>
      <c r="P15" s="1" t="s">
        <v>44</v>
      </c>
      <c r="Q15">
        <v>2</v>
      </c>
      <c r="R15">
        <v>1</v>
      </c>
      <c r="S15" s="1" t="s">
        <v>44</v>
      </c>
      <c r="T15" s="1" t="s">
        <v>69</v>
      </c>
      <c r="U15" s="1" t="s">
        <v>34</v>
      </c>
    </row>
    <row r="16" spans="1:21" x14ac:dyDescent="0.25">
      <c r="A16">
        <v>4441</v>
      </c>
      <c r="B16" s="1" t="s">
        <v>91</v>
      </c>
      <c r="C16" s="1" t="s">
        <v>36</v>
      </c>
      <c r="D16">
        <v>46</v>
      </c>
      <c r="E16" s="1" t="s">
        <v>86</v>
      </c>
      <c r="F16" s="1" t="s">
        <v>38</v>
      </c>
      <c r="G16" s="1" t="s">
        <v>67</v>
      </c>
      <c r="H16" s="1" t="s">
        <v>26</v>
      </c>
      <c r="I16" s="1" t="s">
        <v>92</v>
      </c>
      <c r="J16" s="2">
        <v>45178</v>
      </c>
      <c r="K16" s="1" t="s">
        <v>28</v>
      </c>
      <c r="L16" s="1" t="s">
        <v>42</v>
      </c>
      <c r="M16">
        <v>33045</v>
      </c>
      <c r="N16" s="1" t="s">
        <v>43</v>
      </c>
      <c r="O16">
        <v>1456</v>
      </c>
      <c r="P16" s="1" t="s">
        <v>44</v>
      </c>
      <c r="Q16">
        <v>16</v>
      </c>
      <c r="R16">
        <v>3</v>
      </c>
      <c r="S16" s="1" t="s">
        <v>45</v>
      </c>
      <c r="T16" s="1" t="s">
        <v>69</v>
      </c>
      <c r="U16" s="1" t="s">
        <v>44</v>
      </c>
    </row>
    <row r="17" spans="1:21" x14ac:dyDescent="0.25">
      <c r="A17">
        <v>5827</v>
      </c>
      <c r="B17" s="1" t="s">
        <v>93</v>
      </c>
      <c r="C17" s="1" t="s">
        <v>36</v>
      </c>
      <c r="D17">
        <v>57</v>
      </c>
      <c r="E17" s="1" t="s">
        <v>64</v>
      </c>
      <c r="F17" s="1" t="s">
        <v>47</v>
      </c>
      <c r="G17" s="1" t="s">
        <v>67</v>
      </c>
      <c r="H17" s="1" t="s">
        <v>40</v>
      </c>
      <c r="I17" s="1" t="s">
        <v>94</v>
      </c>
      <c r="J17" s="2">
        <v>43081</v>
      </c>
      <c r="K17" s="1" t="s">
        <v>95</v>
      </c>
      <c r="L17" s="1" t="s">
        <v>51</v>
      </c>
      <c r="M17">
        <v>96429</v>
      </c>
      <c r="N17" s="1" t="s">
        <v>30</v>
      </c>
      <c r="O17">
        <v>4740</v>
      </c>
      <c r="P17" s="1" t="s">
        <v>44</v>
      </c>
      <c r="Q17">
        <v>8</v>
      </c>
      <c r="R17">
        <v>1</v>
      </c>
      <c r="S17" s="1" t="s">
        <v>45</v>
      </c>
      <c r="T17" s="1" t="s">
        <v>62</v>
      </c>
      <c r="U17" s="1" t="s">
        <v>44</v>
      </c>
    </row>
    <row r="18" spans="1:21" x14ac:dyDescent="0.25">
      <c r="A18">
        <v>5184</v>
      </c>
      <c r="B18" s="1" t="s">
        <v>96</v>
      </c>
      <c r="C18" s="1" t="s">
        <v>22</v>
      </c>
      <c r="D18">
        <v>24</v>
      </c>
      <c r="E18" s="1" t="s">
        <v>23</v>
      </c>
      <c r="F18" s="1" t="s">
        <v>38</v>
      </c>
      <c r="G18" s="1" t="s">
        <v>48</v>
      </c>
      <c r="H18" s="1" t="s">
        <v>49</v>
      </c>
      <c r="I18" s="1" t="s">
        <v>97</v>
      </c>
      <c r="J18" s="2">
        <v>42804</v>
      </c>
      <c r="K18" s="1" t="s">
        <v>95</v>
      </c>
      <c r="L18" s="1" t="s">
        <v>51</v>
      </c>
      <c r="M18">
        <v>33183</v>
      </c>
      <c r="N18" s="1" t="s">
        <v>60</v>
      </c>
      <c r="O18">
        <v>8114</v>
      </c>
      <c r="P18" s="1" t="s">
        <v>44</v>
      </c>
      <c r="Q18">
        <v>4</v>
      </c>
      <c r="R18">
        <v>2</v>
      </c>
      <c r="S18" s="1" t="s">
        <v>45</v>
      </c>
      <c r="T18" s="1" t="s">
        <v>84</v>
      </c>
      <c r="U18" s="1" t="s">
        <v>54</v>
      </c>
    </row>
    <row r="19" spans="1:21" x14ac:dyDescent="0.25">
      <c r="A19">
        <v>5874</v>
      </c>
      <c r="B19" s="1" t="s">
        <v>55</v>
      </c>
      <c r="C19" s="1" t="s">
        <v>22</v>
      </c>
      <c r="D19">
        <v>35</v>
      </c>
      <c r="E19" s="1" t="s">
        <v>37</v>
      </c>
      <c r="F19" s="1" t="s">
        <v>89</v>
      </c>
      <c r="G19" s="1" t="s">
        <v>67</v>
      </c>
      <c r="H19" s="1" t="s">
        <v>26</v>
      </c>
      <c r="I19" s="1" t="s">
        <v>98</v>
      </c>
      <c r="J19" s="2">
        <v>43528</v>
      </c>
      <c r="K19" s="1" t="s">
        <v>95</v>
      </c>
      <c r="L19" s="1" t="s">
        <v>29</v>
      </c>
      <c r="M19">
        <v>75065</v>
      </c>
      <c r="N19" s="1" t="s">
        <v>30</v>
      </c>
      <c r="O19">
        <v>7123</v>
      </c>
      <c r="P19" s="1" t="s">
        <v>44</v>
      </c>
      <c r="Q19">
        <v>20</v>
      </c>
      <c r="R19">
        <v>2</v>
      </c>
      <c r="S19" s="1" t="s">
        <v>44</v>
      </c>
      <c r="T19" s="1" t="s">
        <v>33</v>
      </c>
      <c r="U19" s="1" t="s">
        <v>54</v>
      </c>
    </row>
    <row r="20" spans="1:21" x14ac:dyDescent="0.25">
      <c r="A20">
        <v>9834</v>
      </c>
      <c r="B20" s="1" t="s">
        <v>99</v>
      </c>
      <c r="C20" s="1" t="s">
        <v>36</v>
      </c>
      <c r="D20">
        <v>41</v>
      </c>
      <c r="E20" s="1" t="s">
        <v>56</v>
      </c>
      <c r="F20" s="1" t="s">
        <v>38</v>
      </c>
      <c r="G20" s="1" t="s">
        <v>39</v>
      </c>
      <c r="H20" s="1" t="s">
        <v>74</v>
      </c>
      <c r="I20" s="1" t="s">
        <v>100</v>
      </c>
      <c r="J20" s="2">
        <v>44885</v>
      </c>
      <c r="K20" s="1" t="s">
        <v>28</v>
      </c>
      <c r="L20" s="1" t="s">
        <v>51</v>
      </c>
      <c r="M20">
        <v>32877</v>
      </c>
      <c r="N20" s="1" t="s">
        <v>30</v>
      </c>
      <c r="O20">
        <v>6432</v>
      </c>
      <c r="P20" s="1" t="s">
        <v>31</v>
      </c>
      <c r="Q20">
        <v>11</v>
      </c>
      <c r="R20">
        <v>1</v>
      </c>
      <c r="S20" s="1" t="s">
        <v>44</v>
      </c>
      <c r="T20" s="1" t="s">
        <v>33</v>
      </c>
      <c r="U20" s="1" t="s">
        <v>44</v>
      </c>
    </row>
    <row r="21" spans="1:21" x14ac:dyDescent="0.25">
      <c r="A21">
        <v>5096</v>
      </c>
      <c r="B21" s="1" t="s">
        <v>101</v>
      </c>
      <c r="C21" s="1" t="s">
        <v>36</v>
      </c>
      <c r="D21">
        <v>36</v>
      </c>
      <c r="E21" s="1" t="s">
        <v>56</v>
      </c>
      <c r="F21" s="1" t="s">
        <v>38</v>
      </c>
      <c r="G21" s="1" t="s">
        <v>102</v>
      </c>
      <c r="H21" s="1" t="s">
        <v>57</v>
      </c>
      <c r="I21" s="1" t="s">
        <v>103</v>
      </c>
      <c r="J21" s="2">
        <v>44257</v>
      </c>
      <c r="K21" s="1" t="s">
        <v>28</v>
      </c>
      <c r="L21" s="1" t="s">
        <v>42</v>
      </c>
      <c r="M21">
        <v>46811</v>
      </c>
      <c r="N21" s="1" t="s">
        <v>52</v>
      </c>
      <c r="O21">
        <v>1567</v>
      </c>
      <c r="P21" s="1" t="s">
        <v>44</v>
      </c>
      <c r="Q21">
        <v>7</v>
      </c>
      <c r="R21">
        <v>3</v>
      </c>
      <c r="S21" s="1" t="s">
        <v>45</v>
      </c>
      <c r="T21" s="1" t="s">
        <v>33</v>
      </c>
      <c r="U21" s="1" t="s">
        <v>54</v>
      </c>
    </row>
    <row r="22" spans="1:21" x14ac:dyDescent="0.25">
      <c r="A22">
        <v>2263</v>
      </c>
      <c r="B22" s="1" t="s">
        <v>104</v>
      </c>
      <c r="C22" s="1" t="s">
        <v>36</v>
      </c>
      <c r="D22">
        <v>31</v>
      </c>
      <c r="E22" s="1" t="s">
        <v>37</v>
      </c>
      <c r="F22" s="1" t="s">
        <v>73</v>
      </c>
      <c r="G22" s="1" t="s">
        <v>48</v>
      </c>
      <c r="H22" s="1" t="s">
        <v>40</v>
      </c>
      <c r="I22" s="1" t="s">
        <v>105</v>
      </c>
      <c r="J22" s="2">
        <v>44409</v>
      </c>
      <c r="K22" s="1" t="s">
        <v>59</v>
      </c>
      <c r="L22" s="1" t="s">
        <v>42</v>
      </c>
      <c r="M22">
        <v>87538</v>
      </c>
      <c r="N22" s="1" t="s">
        <v>30</v>
      </c>
      <c r="O22">
        <v>3588</v>
      </c>
      <c r="P22" s="1" t="s">
        <v>61</v>
      </c>
      <c r="Q22">
        <v>11</v>
      </c>
      <c r="R22">
        <v>5</v>
      </c>
      <c r="S22" s="1" t="s">
        <v>45</v>
      </c>
      <c r="T22" s="1" t="s">
        <v>62</v>
      </c>
      <c r="U22" s="1" t="s">
        <v>44</v>
      </c>
    </row>
    <row r="23" spans="1:21" x14ac:dyDescent="0.25">
      <c r="A23">
        <v>6505</v>
      </c>
      <c r="B23" s="1" t="s">
        <v>106</v>
      </c>
      <c r="C23" s="1" t="s">
        <v>22</v>
      </c>
      <c r="D23">
        <v>28</v>
      </c>
      <c r="E23" s="1" t="s">
        <v>37</v>
      </c>
      <c r="F23" s="1" t="s">
        <v>24</v>
      </c>
      <c r="G23" s="1" t="s">
        <v>39</v>
      </c>
      <c r="H23" s="1" t="s">
        <v>74</v>
      </c>
      <c r="I23" s="1" t="s">
        <v>107</v>
      </c>
      <c r="J23" s="2">
        <v>42230</v>
      </c>
      <c r="K23" s="1" t="s">
        <v>28</v>
      </c>
      <c r="L23" s="1" t="s">
        <v>42</v>
      </c>
      <c r="M23">
        <v>73002</v>
      </c>
      <c r="N23" s="1" t="s">
        <v>30</v>
      </c>
      <c r="O23">
        <v>6296</v>
      </c>
      <c r="P23" s="1" t="s">
        <v>31</v>
      </c>
      <c r="Q23">
        <v>2</v>
      </c>
      <c r="R23">
        <v>5</v>
      </c>
      <c r="S23" s="1" t="s">
        <v>45</v>
      </c>
      <c r="T23" s="1" t="s">
        <v>53</v>
      </c>
      <c r="U23" s="1" t="s">
        <v>34</v>
      </c>
    </row>
    <row r="24" spans="1:21" x14ac:dyDescent="0.25">
      <c r="A24">
        <v>8626</v>
      </c>
      <c r="B24" s="1" t="s">
        <v>108</v>
      </c>
      <c r="C24" s="1" t="s">
        <v>36</v>
      </c>
      <c r="D24">
        <v>37</v>
      </c>
      <c r="E24" s="1" t="s">
        <v>56</v>
      </c>
      <c r="F24" s="1" t="s">
        <v>73</v>
      </c>
      <c r="G24" s="1" t="s">
        <v>39</v>
      </c>
      <c r="H24" s="1" t="s">
        <v>57</v>
      </c>
      <c r="I24" s="1" t="s">
        <v>109</v>
      </c>
      <c r="J24" s="2">
        <v>42298</v>
      </c>
      <c r="K24" s="1" t="s">
        <v>95</v>
      </c>
      <c r="L24" s="1" t="s">
        <v>51</v>
      </c>
      <c r="M24">
        <v>41653</v>
      </c>
      <c r="N24" s="1" t="s">
        <v>52</v>
      </c>
      <c r="O24">
        <v>9236</v>
      </c>
      <c r="P24" s="1" t="s">
        <v>44</v>
      </c>
      <c r="Q24">
        <v>13</v>
      </c>
      <c r="R24">
        <v>1</v>
      </c>
      <c r="S24" s="1" t="s">
        <v>45</v>
      </c>
      <c r="T24" s="1" t="s">
        <v>33</v>
      </c>
      <c r="U24" s="1" t="s">
        <v>44</v>
      </c>
    </row>
    <row r="25" spans="1:21" x14ac:dyDescent="0.25">
      <c r="A25">
        <v>5979</v>
      </c>
      <c r="B25" s="1" t="s">
        <v>110</v>
      </c>
      <c r="C25" s="1" t="s">
        <v>22</v>
      </c>
      <c r="D25">
        <v>31</v>
      </c>
      <c r="E25" s="1" t="s">
        <v>37</v>
      </c>
      <c r="F25" s="1" t="s">
        <v>24</v>
      </c>
      <c r="G25" s="1" t="s">
        <v>25</v>
      </c>
      <c r="H25" s="1" t="s">
        <v>49</v>
      </c>
      <c r="I25" s="1" t="s">
        <v>111</v>
      </c>
      <c r="J25" s="2">
        <v>42077</v>
      </c>
      <c r="K25" s="1" t="s">
        <v>59</v>
      </c>
      <c r="L25" s="1" t="s">
        <v>42</v>
      </c>
      <c r="M25">
        <v>67582</v>
      </c>
      <c r="N25" s="1" t="s">
        <v>60</v>
      </c>
      <c r="O25">
        <v>1375</v>
      </c>
      <c r="P25" s="1" t="s">
        <v>31</v>
      </c>
      <c r="Q25">
        <v>20</v>
      </c>
      <c r="R25">
        <v>3</v>
      </c>
      <c r="S25" s="1" t="s">
        <v>45</v>
      </c>
      <c r="T25" s="1" t="s">
        <v>53</v>
      </c>
      <c r="U25" s="1" t="s">
        <v>44</v>
      </c>
    </row>
    <row r="26" spans="1:21" x14ac:dyDescent="0.25">
      <c r="A26">
        <v>3104</v>
      </c>
      <c r="B26" s="1" t="s">
        <v>112</v>
      </c>
      <c r="C26" s="1" t="s">
        <v>22</v>
      </c>
      <c r="D26">
        <v>23</v>
      </c>
      <c r="E26" s="1" t="s">
        <v>23</v>
      </c>
      <c r="F26" s="1" t="s">
        <v>73</v>
      </c>
      <c r="G26" s="1" t="s">
        <v>39</v>
      </c>
      <c r="H26" s="1" t="s">
        <v>40</v>
      </c>
      <c r="I26" s="1" t="s">
        <v>113</v>
      </c>
      <c r="J26" s="2">
        <v>45434</v>
      </c>
      <c r="K26" s="1" t="s">
        <v>95</v>
      </c>
      <c r="L26" s="1" t="s">
        <v>42</v>
      </c>
      <c r="M26">
        <v>37351</v>
      </c>
      <c r="N26" s="1" t="s">
        <v>52</v>
      </c>
      <c r="O26">
        <v>7858</v>
      </c>
      <c r="P26" s="1" t="s">
        <v>61</v>
      </c>
      <c r="Q26">
        <v>18</v>
      </c>
      <c r="R26">
        <v>2</v>
      </c>
      <c r="S26" s="1" t="s">
        <v>32</v>
      </c>
      <c r="T26" s="1" t="s">
        <v>53</v>
      </c>
      <c r="U26" s="1" t="s">
        <v>54</v>
      </c>
    </row>
    <row r="27" spans="1:21" x14ac:dyDescent="0.25">
      <c r="A27">
        <v>8967</v>
      </c>
      <c r="B27" s="1" t="s">
        <v>114</v>
      </c>
      <c r="C27" s="1" t="s">
        <v>22</v>
      </c>
      <c r="D27">
        <v>48</v>
      </c>
      <c r="E27" s="1" t="s">
        <v>86</v>
      </c>
      <c r="F27" s="1" t="s">
        <v>89</v>
      </c>
      <c r="G27" s="1" t="s">
        <v>48</v>
      </c>
      <c r="H27" s="1" t="s">
        <v>26</v>
      </c>
      <c r="I27" s="1" t="s">
        <v>115</v>
      </c>
      <c r="J27" s="2">
        <v>42813</v>
      </c>
      <c r="K27" s="1" t="s">
        <v>28</v>
      </c>
      <c r="L27" s="1" t="s">
        <v>42</v>
      </c>
      <c r="M27">
        <v>36721</v>
      </c>
      <c r="N27" s="1" t="s">
        <v>43</v>
      </c>
      <c r="O27">
        <v>8820</v>
      </c>
      <c r="P27" s="1" t="s">
        <v>61</v>
      </c>
      <c r="Q27">
        <v>0</v>
      </c>
      <c r="R27">
        <v>2</v>
      </c>
      <c r="S27" s="1" t="s">
        <v>45</v>
      </c>
      <c r="T27" s="1" t="s">
        <v>53</v>
      </c>
      <c r="U27" s="1" t="s">
        <v>34</v>
      </c>
    </row>
    <row r="28" spans="1:21" x14ac:dyDescent="0.25">
      <c r="A28">
        <v>5087</v>
      </c>
      <c r="B28" s="1" t="s">
        <v>116</v>
      </c>
      <c r="C28" s="1" t="s">
        <v>36</v>
      </c>
      <c r="D28">
        <v>28</v>
      </c>
      <c r="E28" s="1" t="s">
        <v>37</v>
      </c>
      <c r="F28" s="1" t="s">
        <v>47</v>
      </c>
      <c r="G28" s="1" t="s">
        <v>102</v>
      </c>
      <c r="H28" s="1" t="s">
        <v>26</v>
      </c>
      <c r="I28" s="1" t="s">
        <v>117</v>
      </c>
      <c r="J28" s="2">
        <v>44454</v>
      </c>
      <c r="K28" s="1" t="s">
        <v>59</v>
      </c>
      <c r="L28" s="1" t="s">
        <v>51</v>
      </c>
      <c r="M28">
        <v>46326</v>
      </c>
      <c r="N28" s="1" t="s">
        <v>43</v>
      </c>
      <c r="O28">
        <v>9189</v>
      </c>
      <c r="P28" s="1" t="s">
        <v>61</v>
      </c>
      <c r="Q28">
        <v>8</v>
      </c>
      <c r="R28">
        <v>4</v>
      </c>
      <c r="S28" s="1" t="s">
        <v>32</v>
      </c>
      <c r="T28" s="1" t="s">
        <v>69</v>
      </c>
      <c r="U28" s="1" t="s">
        <v>54</v>
      </c>
    </row>
    <row r="29" spans="1:21" x14ac:dyDescent="0.25">
      <c r="A29">
        <v>3358</v>
      </c>
      <c r="B29" s="1" t="s">
        <v>118</v>
      </c>
      <c r="C29" s="1" t="s">
        <v>36</v>
      </c>
      <c r="D29">
        <v>30</v>
      </c>
      <c r="E29" s="1" t="s">
        <v>37</v>
      </c>
      <c r="F29" s="1" t="s">
        <v>38</v>
      </c>
      <c r="G29" s="1" t="s">
        <v>67</v>
      </c>
      <c r="H29" s="1" t="s">
        <v>40</v>
      </c>
      <c r="I29" s="1" t="s">
        <v>119</v>
      </c>
      <c r="J29" s="2">
        <v>44690</v>
      </c>
      <c r="K29" s="1" t="s">
        <v>28</v>
      </c>
      <c r="L29" s="1" t="s">
        <v>29</v>
      </c>
      <c r="M29">
        <v>59007</v>
      </c>
      <c r="N29" s="1" t="s">
        <v>30</v>
      </c>
      <c r="O29">
        <v>3380</v>
      </c>
      <c r="P29" s="1" t="s">
        <v>31</v>
      </c>
      <c r="Q29">
        <v>17</v>
      </c>
      <c r="R29">
        <v>3</v>
      </c>
      <c r="S29" s="1" t="s">
        <v>44</v>
      </c>
      <c r="T29" s="1" t="s">
        <v>84</v>
      </c>
      <c r="U29" s="1" t="s">
        <v>34</v>
      </c>
    </row>
    <row r="30" spans="1:21" x14ac:dyDescent="0.25">
      <c r="A30">
        <v>8256</v>
      </c>
      <c r="B30" s="1" t="s">
        <v>120</v>
      </c>
      <c r="C30" s="1" t="s">
        <v>36</v>
      </c>
      <c r="D30">
        <v>46</v>
      </c>
      <c r="E30" s="1" t="s">
        <v>86</v>
      </c>
      <c r="F30" s="1" t="s">
        <v>73</v>
      </c>
      <c r="G30" s="1" t="s">
        <v>25</v>
      </c>
      <c r="H30" s="1" t="s">
        <v>57</v>
      </c>
      <c r="I30" s="1" t="s">
        <v>121</v>
      </c>
      <c r="J30" s="2">
        <v>42908</v>
      </c>
      <c r="K30" s="1" t="s">
        <v>28</v>
      </c>
      <c r="L30" s="1" t="s">
        <v>42</v>
      </c>
      <c r="M30">
        <v>52020</v>
      </c>
      <c r="N30" s="1" t="s">
        <v>43</v>
      </c>
      <c r="O30">
        <v>9585</v>
      </c>
      <c r="P30" s="1" t="s">
        <v>61</v>
      </c>
      <c r="Q30">
        <v>0</v>
      </c>
      <c r="R30">
        <v>4</v>
      </c>
      <c r="S30" s="1" t="s">
        <v>45</v>
      </c>
      <c r="T30" s="1" t="s">
        <v>84</v>
      </c>
      <c r="U30" s="1" t="s">
        <v>44</v>
      </c>
    </row>
    <row r="31" spans="1:21" x14ac:dyDescent="0.25">
      <c r="A31">
        <v>5763</v>
      </c>
      <c r="B31" s="1" t="s">
        <v>122</v>
      </c>
      <c r="C31" s="1" t="s">
        <v>36</v>
      </c>
      <c r="D31">
        <v>44</v>
      </c>
      <c r="E31" s="1" t="s">
        <v>56</v>
      </c>
      <c r="F31" s="1" t="s">
        <v>38</v>
      </c>
      <c r="G31" s="1" t="s">
        <v>48</v>
      </c>
      <c r="H31" s="1" t="s">
        <v>40</v>
      </c>
      <c r="I31" s="1" t="s">
        <v>123</v>
      </c>
      <c r="J31" s="2">
        <v>44163</v>
      </c>
      <c r="K31" s="1" t="s">
        <v>95</v>
      </c>
      <c r="L31" s="1" t="s">
        <v>42</v>
      </c>
      <c r="M31">
        <v>98961</v>
      </c>
      <c r="N31" s="1" t="s">
        <v>52</v>
      </c>
      <c r="O31">
        <v>2688</v>
      </c>
      <c r="P31" s="1" t="s">
        <v>31</v>
      </c>
      <c r="Q31">
        <v>2</v>
      </c>
      <c r="R31">
        <v>5</v>
      </c>
      <c r="S31" s="1" t="s">
        <v>45</v>
      </c>
      <c r="T31" s="1" t="s">
        <v>84</v>
      </c>
      <c r="U31" s="1" t="s">
        <v>34</v>
      </c>
    </row>
    <row r="32" spans="1:21" x14ac:dyDescent="0.25">
      <c r="A32">
        <v>6838</v>
      </c>
      <c r="B32" s="1" t="s">
        <v>124</v>
      </c>
      <c r="C32" s="1" t="s">
        <v>36</v>
      </c>
      <c r="D32">
        <v>45</v>
      </c>
      <c r="E32" s="1" t="s">
        <v>56</v>
      </c>
      <c r="F32" s="1" t="s">
        <v>47</v>
      </c>
      <c r="G32" s="1" t="s">
        <v>67</v>
      </c>
      <c r="H32" s="1" t="s">
        <v>49</v>
      </c>
      <c r="I32" s="1" t="s">
        <v>125</v>
      </c>
      <c r="J32" s="2">
        <v>42246</v>
      </c>
      <c r="K32" s="1" t="s">
        <v>95</v>
      </c>
      <c r="L32" s="1" t="s">
        <v>42</v>
      </c>
      <c r="M32">
        <v>81943</v>
      </c>
      <c r="N32" s="1" t="s">
        <v>30</v>
      </c>
      <c r="O32">
        <v>2255</v>
      </c>
      <c r="P32" s="1" t="s">
        <v>31</v>
      </c>
      <c r="Q32">
        <v>18</v>
      </c>
      <c r="R32">
        <v>2</v>
      </c>
      <c r="S32" s="1" t="s">
        <v>44</v>
      </c>
      <c r="T32" s="1" t="s">
        <v>62</v>
      </c>
      <c r="U32" s="1" t="s">
        <v>34</v>
      </c>
    </row>
    <row r="33" spans="1:21" x14ac:dyDescent="0.25">
      <c r="A33">
        <v>9544</v>
      </c>
      <c r="B33" s="1" t="s">
        <v>126</v>
      </c>
      <c r="C33" s="1" t="s">
        <v>36</v>
      </c>
      <c r="D33">
        <v>52</v>
      </c>
      <c r="E33" s="1" t="s">
        <v>86</v>
      </c>
      <c r="F33" s="1" t="s">
        <v>89</v>
      </c>
      <c r="G33" s="1" t="s">
        <v>48</v>
      </c>
      <c r="H33" s="1" t="s">
        <v>40</v>
      </c>
      <c r="I33" s="1" t="s">
        <v>127</v>
      </c>
      <c r="J33" s="2">
        <v>43400</v>
      </c>
      <c r="K33" s="1" t="s">
        <v>95</v>
      </c>
      <c r="L33" s="1" t="s">
        <v>42</v>
      </c>
      <c r="M33">
        <v>47627</v>
      </c>
      <c r="N33" s="1" t="s">
        <v>30</v>
      </c>
      <c r="O33">
        <v>1221</v>
      </c>
      <c r="P33" s="1" t="s">
        <v>44</v>
      </c>
      <c r="Q33">
        <v>4</v>
      </c>
      <c r="R33">
        <v>3</v>
      </c>
      <c r="S33" s="1" t="s">
        <v>44</v>
      </c>
      <c r="T33" s="1" t="s">
        <v>53</v>
      </c>
      <c r="U33" s="1" t="s">
        <v>44</v>
      </c>
    </row>
    <row r="34" spans="1:21" x14ac:dyDescent="0.25">
      <c r="A34">
        <v>8012</v>
      </c>
      <c r="B34" s="1" t="s">
        <v>128</v>
      </c>
      <c r="C34" s="1" t="s">
        <v>22</v>
      </c>
      <c r="D34">
        <v>52</v>
      </c>
      <c r="E34" s="1" t="s">
        <v>86</v>
      </c>
      <c r="F34" s="1" t="s">
        <v>24</v>
      </c>
      <c r="G34" s="1" t="s">
        <v>25</v>
      </c>
      <c r="H34" s="1" t="s">
        <v>74</v>
      </c>
      <c r="I34" s="1" t="s">
        <v>129</v>
      </c>
      <c r="J34" s="2">
        <v>43338</v>
      </c>
      <c r="K34" s="1" t="s">
        <v>95</v>
      </c>
      <c r="L34" s="1" t="s">
        <v>42</v>
      </c>
      <c r="M34">
        <v>56162</v>
      </c>
      <c r="N34" s="1" t="s">
        <v>52</v>
      </c>
      <c r="O34">
        <v>6560</v>
      </c>
      <c r="P34" s="1" t="s">
        <v>61</v>
      </c>
      <c r="Q34">
        <v>9</v>
      </c>
      <c r="R34">
        <v>4</v>
      </c>
      <c r="S34" s="1" t="s">
        <v>45</v>
      </c>
      <c r="T34" s="1" t="s">
        <v>69</v>
      </c>
      <c r="U34" s="1" t="s">
        <v>44</v>
      </c>
    </row>
    <row r="35" spans="1:21" x14ac:dyDescent="0.25">
      <c r="A35">
        <v>9374</v>
      </c>
      <c r="B35" s="1" t="s">
        <v>130</v>
      </c>
      <c r="C35" s="1" t="s">
        <v>22</v>
      </c>
      <c r="D35">
        <v>42</v>
      </c>
      <c r="E35" s="1" t="s">
        <v>56</v>
      </c>
      <c r="F35" s="1" t="s">
        <v>38</v>
      </c>
      <c r="G35" s="1" t="s">
        <v>48</v>
      </c>
      <c r="H35" s="1" t="s">
        <v>49</v>
      </c>
      <c r="I35" s="1" t="s">
        <v>131</v>
      </c>
      <c r="J35" s="2">
        <v>45131</v>
      </c>
      <c r="K35" s="1" t="s">
        <v>59</v>
      </c>
      <c r="L35" s="1" t="s">
        <v>51</v>
      </c>
      <c r="M35">
        <v>95734</v>
      </c>
      <c r="N35" s="1" t="s">
        <v>30</v>
      </c>
      <c r="O35">
        <v>4854</v>
      </c>
      <c r="P35" s="1" t="s">
        <v>31</v>
      </c>
      <c r="Q35">
        <v>13</v>
      </c>
      <c r="R35">
        <v>2</v>
      </c>
      <c r="S35" s="1" t="s">
        <v>32</v>
      </c>
      <c r="T35" s="1" t="s">
        <v>33</v>
      </c>
      <c r="U35" s="1" t="s">
        <v>34</v>
      </c>
    </row>
    <row r="36" spans="1:21" x14ac:dyDescent="0.25">
      <c r="A36">
        <v>3487</v>
      </c>
      <c r="B36" s="1" t="s">
        <v>132</v>
      </c>
      <c r="C36" s="1" t="s">
        <v>36</v>
      </c>
      <c r="D36">
        <v>58</v>
      </c>
      <c r="E36" s="1" t="s">
        <v>64</v>
      </c>
      <c r="F36" s="1" t="s">
        <v>38</v>
      </c>
      <c r="G36" s="1" t="s">
        <v>39</v>
      </c>
      <c r="H36" s="1" t="s">
        <v>57</v>
      </c>
      <c r="I36" s="1" t="s">
        <v>133</v>
      </c>
      <c r="J36" s="2">
        <v>43290</v>
      </c>
      <c r="K36" s="1" t="s">
        <v>59</v>
      </c>
      <c r="L36" s="1" t="s">
        <v>51</v>
      </c>
      <c r="M36">
        <v>74789</v>
      </c>
      <c r="N36" s="1" t="s">
        <v>30</v>
      </c>
      <c r="O36">
        <v>8101</v>
      </c>
      <c r="P36" s="1" t="s">
        <v>61</v>
      </c>
      <c r="Q36">
        <v>14</v>
      </c>
      <c r="R36">
        <v>5</v>
      </c>
      <c r="S36" s="1" t="s">
        <v>45</v>
      </c>
      <c r="T36" s="1" t="s">
        <v>62</v>
      </c>
      <c r="U36" s="1" t="s">
        <v>44</v>
      </c>
    </row>
    <row r="37" spans="1:21" x14ac:dyDescent="0.25">
      <c r="A37">
        <v>8445</v>
      </c>
      <c r="B37" s="1" t="s">
        <v>134</v>
      </c>
      <c r="C37" s="1" t="s">
        <v>22</v>
      </c>
      <c r="D37">
        <v>24</v>
      </c>
      <c r="E37" s="1" t="s">
        <v>23</v>
      </c>
      <c r="F37" s="1" t="s">
        <v>89</v>
      </c>
      <c r="G37" s="1" t="s">
        <v>25</v>
      </c>
      <c r="H37" s="1" t="s">
        <v>57</v>
      </c>
      <c r="I37" s="1" t="s">
        <v>135</v>
      </c>
      <c r="J37" s="2">
        <v>42725</v>
      </c>
      <c r="K37" s="1" t="s">
        <v>28</v>
      </c>
      <c r="L37" s="1" t="s">
        <v>51</v>
      </c>
      <c r="M37">
        <v>30137</v>
      </c>
      <c r="N37" s="1" t="s">
        <v>43</v>
      </c>
      <c r="O37">
        <v>4031</v>
      </c>
      <c r="P37" s="1" t="s">
        <v>44</v>
      </c>
      <c r="Q37">
        <v>5</v>
      </c>
      <c r="R37">
        <v>3</v>
      </c>
      <c r="S37" s="1" t="s">
        <v>44</v>
      </c>
      <c r="T37" s="1" t="s">
        <v>53</v>
      </c>
      <c r="U37" s="1" t="s">
        <v>34</v>
      </c>
    </row>
    <row r="38" spans="1:21" x14ac:dyDescent="0.25">
      <c r="A38">
        <v>1550</v>
      </c>
      <c r="B38" s="1" t="s">
        <v>136</v>
      </c>
      <c r="C38" s="1" t="s">
        <v>36</v>
      </c>
      <c r="D38">
        <v>21</v>
      </c>
      <c r="E38" s="1" t="s">
        <v>23</v>
      </c>
      <c r="F38" s="1" t="s">
        <v>38</v>
      </c>
      <c r="G38" s="1" t="s">
        <v>25</v>
      </c>
      <c r="H38" s="1" t="s">
        <v>26</v>
      </c>
      <c r="I38" s="1" t="s">
        <v>137</v>
      </c>
      <c r="J38" s="2">
        <v>43643</v>
      </c>
      <c r="K38" s="1" t="s">
        <v>28</v>
      </c>
      <c r="L38" s="1" t="s">
        <v>51</v>
      </c>
      <c r="M38">
        <v>95510</v>
      </c>
      <c r="N38" s="1" t="s">
        <v>30</v>
      </c>
      <c r="O38">
        <v>6811</v>
      </c>
      <c r="P38" s="1" t="s">
        <v>31</v>
      </c>
      <c r="Q38">
        <v>18</v>
      </c>
      <c r="R38">
        <v>4</v>
      </c>
      <c r="S38" s="1" t="s">
        <v>45</v>
      </c>
      <c r="T38" s="1" t="s">
        <v>84</v>
      </c>
      <c r="U38" s="1" t="s">
        <v>34</v>
      </c>
    </row>
    <row r="39" spans="1:21" x14ac:dyDescent="0.25">
      <c r="A39">
        <v>9968</v>
      </c>
      <c r="B39" s="1" t="s">
        <v>138</v>
      </c>
      <c r="C39" s="1" t="s">
        <v>36</v>
      </c>
      <c r="D39">
        <v>58</v>
      </c>
      <c r="E39" s="1" t="s">
        <v>64</v>
      </c>
      <c r="F39" s="1" t="s">
        <v>38</v>
      </c>
      <c r="G39" s="1" t="s">
        <v>67</v>
      </c>
      <c r="H39" s="1" t="s">
        <v>26</v>
      </c>
      <c r="I39" s="1" t="s">
        <v>139</v>
      </c>
      <c r="J39" s="2">
        <v>44435</v>
      </c>
      <c r="K39" s="1" t="s">
        <v>59</v>
      </c>
      <c r="L39" s="1" t="s">
        <v>29</v>
      </c>
      <c r="M39">
        <v>80325</v>
      </c>
      <c r="N39" s="1" t="s">
        <v>43</v>
      </c>
      <c r="O39">
        <v>6230</v>
      </c>
      <c r="P39" s="1" t="s">
        <v>31</v>
      </c>
      <c r="Q39">
        <v>5</v>
      </c>
      <c r="R39">
        <v>4</v>
      </c>
      <c r="S39" s="1" t="s">
        <v>44</v>
      </c>
      <c r="T39" s="1" t="s">
        <v>62</v>
      </c>
      <c r="U39" s="1" t="s">
        <v>54</v>
      </c>
    </row>
    <row r="40" spans="1:21" x14ac:dyDescent="0.25">
      <c r="A40">
        <v>8029</v>
      </c>
      <c r="B40" s="1" t="s">
        <v>140</v>
      </c>
      <c r="C40" s="1" t="s">
        <v>22</v>
      </c>
      <c r="D40">
        <v>57</v>
      </c>
      <c r="E40" s="1" t="s">
        <v>64</v>
      </c>
      <c r="F40" s="1" t="s">
        <v>73</v>
      </c>
      <c r="G40" s="1" t="s">
        <v>102</v>
      </c>
      <c r="H40" s="1" t="s">
        <v>74</v>
      </c>
      <c r="I40" s="1" t="s">
        <v>141</v>
      </c>
      <c r="J40" s="2">
        <v>42883</v>
      </c>
      <c r="K40" s="1" t="s">
        <v>95</v>
      </c>
      <c r="L40" s="1" t="s">
        <v>42</v>
      </c>
      <c r="M40">
        <v>34109</v>
      </c>
      <c r="N40" s="1" t="s">
        <v>43</v>
      </c>
      <c r="O40">
        <v>9232</v>
      </c>
      <c r="P40" s="1" t="s">
        <v>31</v>
      </c>
      <c r="Q40">
        <v>13</v>
      </c>
      <c r="R40">
        <v>3</v>
      </c>
      <c r="S40" s="1" t="s">
        <v>32</v>
      </c>
      <c r="T40" s="1" t="s">
        <v>33</v>
      </c>
      <c r="U40" s="1" t="s">
        <v>34</v>
      </c>
    </row>
    <row r="41" spans="1:21" x14ac:dyDescent="0.25">
      <c r="A41">
        <v>8847</v>
      </c>
      <c r="B41" s="1" t="s">
        <v>142</v>
      </c>
      <c r="C41" s="1" t="s">
        <v>36</v>
      </c>
      <c r="D41">
        <v>41</v>
      </c>
      <c r="E41" s="1" t="s">
        <v>56</v>
      </c>
      <c r="F41" s="1" t="s">
        <v>73</v>
      </c>
      <c r="G41" s="1" t="s">
        <v>67</v>
      </c>
      <c r="H41" s="1" t="s">
        <v>26</v>
      </c>
      <c r="I41" s="1" t="s">
        <v>143</v>
      </c>
      <c r="J41" s="2">
        <v>44591</v>
      </c>
      <c r="K41" s="1" t="s">
        <v>95</v>
      </c>
      <c r="L41" s="1" t="s">
        <v>51</v>
      </c>
      <c r="M41">
        <v>73330</v>
      </c>
      <c r="N41" s="1" t="s">
        <v>30</v>
      </c>
      <c r="O41">
        <v>2276</v>
      </c>
      <c r="P41" s="1" t="s">
        <v>61</v>
      </c>
      <c r="Q41">
        <v>5</v>
      </c>
      <c r="R41">
        <v>1</v>
      </c>
      <c r="S41" s="1" t="s">
        <v>44</v>
      </c>
      <c r="T41" s="1" t="s">
        <v>53</v>
      </c>
      <c r="U41" s="1" t="s">
        <v>54</v>
      </c>
    </row>
    <row r="42" spans="1:21" x14ac:dyDescent="0.25">
      <c r="A42">
        <v>1955</v>
      </c>
      <c r="B42" s="1" t="s">
        <v>144</v>
      </c>
      <c r="C42" s="1" t="s">
        <v>22</v>
      </c>
      <c r="D42">
        <v>58</v>
      </c>
      <c r="E42" s="1" t="s">
        <v>64</v>
      </c>
      <c r="F42" s="1" t="s">
        <v>47</v>
      </c>
      <c r="G42" s="1" t="s">
        <v>48</v>
      </c>
      <c r="H42" s="1" t="s">
        <v>40</v>
      </c>
      <c r="I42" s="1" t="s">
        <v>145</v>
      </c>
      <c r="J42" s="2">
        <v>42845</v>
      </c>
      <c r="K42" s="1" t="s">
        <v>59</v>
      </c>
      <c r="L42" s="1" t="s">
        <v>51</v>
      </c>
      <c r="M42">
        <v>46567</v>
      </c>
      <c r="N42" s="1" t="s">
        <v>60</v>
      </c>
      <c r="O42">
        <v>2825</v>
      </c>
      <c r="P42" s="1" t="s">
        <v>31</v>
      </c>
      <c r="Q42">
        <v>15</v>
      </c>
      <c r="R42">
        <v>3</v>
      </c>
      <c r="S42" s="1" t="s">
        <v>44</v>
      </c>
      <c r="T42" s="1" t="s">
        <v>84</v>
      </c>
      <c r="U42" s="1" t="s">
        <v>54</v>
      </c>
    </row>
    <row r="43" spans="1:21" x14ac:dyDescent="0.25">
      <c r="A43">
        <v>4522</v>
      </c>
      <c r="B43" s="1" t="s">
        <v>146</v>
      </c>
      <c r="C43" s="1" t="s">
        <v>22</v>
      </c>
      <c r="D43">
        <v>36</v>
      </c>
      <c r="E43" s="1" t="s">
        <v>56</v>
      </c>
      <c r="F43" s="1" t="s">
        <v>24</v>
      </c>
      <c r="G43" s="1" t="s">
        <v>102</v>
      </c>
      <c r="H43" s="1" t="s">
        <v>26</v>
      </c>
      <c r="I43" s="1" t="s">
        <v>147</v>
      </c>
      <c r="J43" s="2">
        <v>43668</v>
      </c>
      <c r="K43" s="1" t="s">
        <v>59</v>
      </c>
      <c r="L43" s="1" t="s">
        <v>42</v>
      </c>
      <c r="M43">
        <v>39795</v>
      </c>
      <c r="N43" s="1" t="s">
        <v>60</v>
      </c>
      <c r="O43">
        <v>1670</v>
      </c>
      <c r="P43" s="1" t="s">
        <v>44</v>
      </c>
      <c r="Q43">
        <v>0</v>
      </c>
      <c r="R43">
        <v>2</v>
      </c>
      <c r="S43" s="1" t="s">
        <v>45</v>
      </c>
      <c r="T43" s="1" t="s">
        <v>69</v>
      </c>
      <c r="U43" s="1" t="s">
        <v>44</v>
      </c>
    </row>
    <row r="44" spans="1:21" x14ac:dyDescent="0.25">
      <c r="A44">
        <v>3078</v>
      </c>
      <c r="B44" s="1" t="s">
        <v>148</v>
      </c>
      <c r="C44" s="1" t="s">
        <v>22</v>
      </c>
      <c r="D44">
        <v>21</v>
      </c>
      <c r="E44" s="1" t="s">
        <v>23</v>
      </c>
      <c r="F44" s="1" t="s">
        <v>24</v>
      </c>
      <c r="G44" s="1" t="s">
        <v>25</v>
      </c>
      <c r="H44" s="1" t="s">
        <v>74</v>
      </c>
      <c r="I44" s="1" t="s">
        <v>149</v>
      </c>
      <c r="J44" s="2">
        <v>43433</v>
      </c>
      <c r="K44" s="1" t="s">
        <v>59</v>
      </c>
      <c r="L44" s="1" t="s">
        <v>51</v>
      </c>
      <c r="M44">
        <v>59506</v>
      </c>
      <c r="N44" s="1" t="s">
        <v>60</v>
      </c>
      <c r="O44">
        <v>4428</v>
      </c>
      <c r="P44" s="1" t="s">
        <v>61</v>
      </c>
      <c r="Q44">
        <v>0</v>
      </c>
      <c r="R44">
        <v>1</v>
      </c>
      <c r="S44" s="1" t="s">
        <v>44</v>
      </c>
      <c r="T44" s="1" t="s">
        <v>69</v>
      </c>
      <c r="U44" s="1" t="s">
        <v>34</v>
      </c>
    </row>
    <row r="45" spans="1:21" x14ac:dyDescent="0.25">
      <c r="A45">
        <v>6357</v>
      </c>
      <c r="B45" s="1" t="s">
        <v>150</v>
      </c>
      <c r="C45" s="1" t="s">
        <v>22</v>
      </c>
      <c r="D45">
        <v>46</v>
      </c>
      <c r="E45" s="1" t="s">
        <v>86</v>
      </c>
      <c r="F45" s="1" t="s">
        <v>47</v>
      </c>
      <c r="G45" s="1" t="s">
        <v>39</v>
      </c>
      <c r="H45" s="1" t="s">
        <v>74</v>
      </c>
      <c r="I45" s="1" t="s">
        <v>151</v>
      </c>
      <c r="J45" s="2">
        <v>44879</v>
      </c>
      <c r="K45" s="1" t="s">
        <v>59</v>
      </c>
      <c r="L45" s="1" t="s">
        <v>51</v>
      </c>
      <c r="M45">
        <v>49058</v>
      </c>
      <c r="N45" s="1" t="s">
        <v>43</v>
      </c>
      <c r="O45">
        <v>4396</v>
      </c>
      <c r="P45" s="1" t="s">
        <v>44</v>
      </c>
      <c r="Q45">
        <v>5</v>
      </c>
      <c r="R45">
        <v>1</v>
      </c>
      <c r="S45" s="1" t="s">
        <v>44</v>
      </c>
      <c r="T45" s="1" t="s">
        <v>69</v>
      </c>
      <c r="U45" s="1" t="s">
        <v>44</v>
      </c>
    </row>
    <row r="46" spans="1:21" x14ac:dyDescent="0.25">
      <c r="A46">
        <v>7951</v>
      </c>
      <c r="B46" s="1" t="s">
        <v>152</v>
      </c>
      <c r="C46" s="1" t="s">
        <v>22</v>
      </c>
      <c r="D46">
        <v>36</v>
      </c>
      <c r="E46" s="1" t="s">
        <v>56</v>
      </c>
      <c r="F46" s="1" t="s">
        <v>73</v>
      </c>
      <c r="G46" s="1" t="s">
        <v>48</v>
      </c>
      <c r="H46" s="1" t="s">
        <v>74</v>
      </c>
      <c r="I46" s="1" t="s">
        <v>153</v>
      </c>
      <c r="J46" s="2">
        <v>42423</v>
      </c>
      <c r="K46" s="1" t="s">
        <v>59</v>
      </c>
      <c r="L46" s="1" t="s">
        <v>29</v>
      </c>
      <c r="M46">
        <v>98612</v>
      </c>
      <c r="N46" s="1" t="s">
        <v>60</v>
      </c>
      <c r="O46">
        <v>1168</v>
      </c>
      <c r="P46" s="1" t="s">
        <v>44</v>
      </c>
      <c r="Q46">
        <v>9</v>
      </c>
      <c r="R46">
        <v>2</v>
      </c>
      <c r="S46" s="1" t="s">
        <v>45</v>
      </c>
      <c r="T46" s="1" t="s">
        <v>33</v>
      </c>
      <c r="U46" s="1" t="s">
        <v>34</v>
      </c>
    </row>
    <row r="47" spans="1:21" x14ac:dyDescent="0.25">
      <c r="A47">
        <v>9228</v>
      </c>
      <c r="B47" s="1" t="s">
        <v>154</v>
      </c>
      <c r="C47" s="1" t="s">
        <v>36</v>
      </c>
      <c r="D47">
        <v>41</v>
      </c>
      <c r="E47" s="1" t="s">
        <v>56</v>
      </c>
      <c r="F47" s="1" t="s">
        <v>89</v>
      </c>
      <c r="G47" s="1" t="s">
        <v>67</v>
      </c>
      <c r="H47" s="1" t="s">
        <v>40</v>
      </c>
      <c r="I47" s="1" t="s">
        <v>155</v>
      </c>
      <c r="J47" s="2">
        <v>43238</v>
      </c>
      <c r="K47" s="1" t="s">
        <v>95</v>
      </c>
      <c r="L47" s="1" t="s">
        <v>42</v>
      </c>
      <c r="M47">
        <v>38201</v>
      </c>
      <c r="N47" s="1" t="s">
        <v>60</v>
      </c>
      <c r="O47">
        <v>7111</v>
      </c>
      <c r="P47" s="1" t="s">
        <v>31</v>
      </c>
      <c r="Q47">
        <v>8</v>
      </c>
      <c r="R47">
        <v>4</v>
      </c>
      <c r="S47" s="1" t="s">
        <v>32</v>
      </c>
      <c r="T47" s="1" t="s">
        <v>69</v>
      </c>
      <c r="U47" s="1" t="s">
        <v>44</v>
      </c>
    </row>
    <row r="48" spans="1:21" x14ac:dyDescent="0.25">
      <c r="A48">
        <v>8988</v>
      </c>
      <c r="B48" s="1" t="s">
        <v>156</v>
      </c>
      <c r="C48" s="1" t="s">
        <v>36</v>
      </c>
      <c r="D48">
        <v>25</v>
      </c>
      <c r="E48" s="1" t="s">
        <v>23</v>
      </c>
      <c r="F48" s="1" t="s">
        <v>24</v>
      </c>
      <c r="G48" s="1" t="s">
        <v>48</v>
      </c>
      <c r="H48" s="1" t="s">
        <v>49</v>
      </c>
      <c r="I48" s="1" t="s">
        <v>157</v>
      </c>
      <c r="J48" s="2">
        <v>45360</v>
      </c>
      <c r="K48" s="1" t="s">
        <v>95</v>
      </c>
      <c r="L48" s="1" t="s">
        <v>42</v>
      </c>
      <c r="M48">
        <v>92919</v>
      </c>
      <c r="N48" s="1" t="s">
        <v>52</v>
      </c>
      <c r="O48">
        <v>9497</v>
      </c>
      <c r="P48" s="1" t="s">
        <v>31</v>
      </c>
      <c r="Q48">
        <v>7</v>
      </c>
      <c r="R48">
        <v>2</v>
      </c>
      <c r="S48" s="1" t="s">
        <v>44</v>
      </c>
      <c r="T48" s="1" t="s">
        <v>69</v>
      </c>
      <c r="U48" s="1" t="s">
        <v>54</v>
      </c>
    </row>
    <row r="49" spans="1:21" x14ac:dyDescent="0.25">
      <c r="A49">
        <v>1952</v>
      </c>
      <c r="B49" s="1" t="s">
        <v>158</v>
      </c>
      <c r="C49" s="1" t="s">
        <v>22</v>
      </c>
      <c r="D49">
        <v>29</v>
      </c>
      <c r="E49" s="1" t="s">
        <v>37</v>
      </c>
      <c r="F49" s="1" t="s">
        <v>89</v>
      </c>
      <c r="G49" s="1" t="s">
        <v>25</v>
      </c>
      <c r="H49" s="1" t="s">
        <v>40</v>
      </c>
      <c r="I49" s="1" t="s">
        <v>159</v>
      </c>
      <c r="J49" s="2">
        <v>45378</v>
      </c>
      <c r="K49" s="1" t="s">
        <v>28</v>
      </c>
      <c r="L49" s="1" t="s">
        <v>51</v>
      </c>
      <c r="M49">
        <v>45188</v>
      </c>
      <c r="N49" s="1" t="s">
        <v>60</v>
      </c>
      <c r="O49">
        <v>9591</v>
      </c>
      <c r="P49" s="1" t="s">
        <v>61</v>
      </c>
      <c r="Q49">
        <v>18</v>
      </c>
      <c r="R49">
        <v>3</v>
      </c>
      <c r="S49" s="1" t="s">
        <v>32</v>
      </c>
      <c r="T49" s="1" t="s">
        <v>69</v>
      </c>
      <c r="U49" s="1" t="s">
        <v>44</v>
      </c>
    </row>
    <row r="50" spans="1:21" x14ac:dyDescent="0.25">
      <c r="A50">
        <v>5760</v>
      </c>
      <c r="B50" s="1" t="s">
        <v>160</v>
      </c>
      <c r="C50" s="1" t="s">
        <v>22</v>
      </c>
      <c r="D50">
        <v>59</v>
      </c>
      <c r="E50" s="1" t="s">
        <v>64</v>
      </c>
      <c r="F50" s="1" t="s">
        <v>47</v>
      </c>
      <c r="G50" s="1" t="s">
        <v>39</v>
      </c>
      <c r="H50" s="1" t="s">
        <v>26</v>
      </c>
      <c r="I50" s="1" t="s">
        <v>161</v>
      </c>
      <c r="J50" s="2">
        <v>43822</v>
      </c>
      <c r="K50" s="1" t="s">
        <v>28</v>
      </c>
      <c r="L50" s="1" t="s">
        <v>42</v>
      </c>
      <c r="M50">
        <v>34927</v>
      </c>
      <c r="N50" s="1" t="s">
        <v>52</v>
      </c>
      <c r="O50">
        <v>6996</v>
      </c>
      <c r="P50" s="1" t="s">
        <v>61</v>
      </c>
      <c r="Q50">
        <v>16</v>
      </c>
      <c r="R50">
        <v>1</v>
      </c>
      <c r="S50" s="1" t="s">
        <v>45</v>
      </c>
      <c r="T50" s="1" t="s">
        <v>33</v>
      </c>
      <c r="U50" s="1" t="s">
        <v>34</v>
      </c>
    </row>
    <row r="51" spans="1:21" x14ac:dyDescent="0.25">
      <c r="A51">
        <v>5742</v>
      </c>
      <c r="B51" s="1" t="s">
        <v>162</v>
      </c>
      <c r="C51" s="1" t="s">
        <v>22</v>
      </c>
      <c r="D51">
        <v>27</v>
      </c>
      <c r="E51" s="1" t="s">
        <v>37</v>
      </c>
      <c r="F51" s="1" t="s">
        <v>24</v>
      </c>
      <c r="G51" s="1" t="s">
        <v>48</v>
      </c>
      <c r="H51" s="1" t="s">
        <v>57</v>
      </c>
      <c r="I51" s="1" t="s">
        <v>163</v>
      </c>
      <c r="J51" s="2">
        <v>42607</v>
      </c>
      <c r="K51" s="1" t="s">
        <v>28</v>
      </c>
      <c r="L51" s="1" t="s">
        <v>42</v>
      </c>
      <c r="M51">
        <v>33183</v>
      </c>
      <c r="N51" s="1" t="s">
        <v>60</v>
      </c>
      <c r="O51">
        <v>1659</v>
      </c>
      <c r="P51" s="1" t="s">
        <v>44</v>
      </c>
      <c r="Q51">
        <v>11</v>
      </c>
      <c r="R51">
        <v>1</v>
      </c>
      <c r="S51" s="1" t="s">
        <v>32</v>
      </c>
      <c r="T51" s="1" t="s">
        <v>62</v>
      </c>
      <c r="U51" s="1" t="s">
        <v>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3D7B7-8142-42ED-8737-123791EF0888}">
  <dimension ref="C2:AF16"/>
  <sheetViews>
    <sheetView topLeftCell="X1" workbookViewId="0">
      <selection activeCell="AE4" sqref="AE4:AF8"/>
    </sheetView>
  </sheetViews>
  <sheetFormatPr defaultRowHeight="15" x14ac:dyDescent="0.25"/>
  <cols>
    <col min="3" max="3" width="13.140625" bestFit="1" customWidth="1"/>
    <col min="4" max="4" width="21.42578125" customWidth="1"/>
    <col min="6" max="6" width="13.140625" bestFit="1" customWidth="1"/>
    <col min="7" max="7" width="12.85546875" bestFit="1" customWidth="1"/>
    <col min="9" max="9" width="18.28515625" bestFit="1" customWidth="1"/>
    <col min="10" max="10" width="16.28515625" bestFit="1" customWidth="1"/>
    <col min="11" max="11" width="5.5703125" bestFit="1" customWidth="1"/>
    <col min="12" max="12" width="11.28515625" bestFit="1" customWidth="1"/>
    <col min="14" max="14" width="13.140625" bestFit="1" customWidth="1"/>
    <col min="15" max="15" width="18.28515625" bestFit="1" customWidth="1"/>
    <col min="16" max="16" width="9.140625" style="7"/>
    <col min="20" max="20" width="15.140625" bestFit="1" customWidth="1"/>
    <col min="21" max="21" width="18.28515625" bestFit="1" customWidth="1"/>
    <col min="23" max="23" width="13.140625" bestFit="1" customWidth="1"/>
    <col min="24" max="24" width="18.28515625" bestFit="1" customWidth="1"/>
    <col min="25" max="25" width="28.140625" style="7" bestFit="1" customWidth="1"/>
    <col min="28" max="28" width="13.140625" bestFit="1" customWidth="1"/>
    <col min="29" max="29" width="18.7109375" bestFit="1" customWidth="1"/>
    <col min="31" max="31" width="13.140625" bestFit="1" customWidth="1"/>
    <col min="32" max="33" width="18.28515625" bestFit="1" customWidth="1"/>
  </cols>
  <sheetData>
    <row r="2" spans="3:32" x14ac:dyDescent="0.25">
      <c r="C2" s="8" t="s">
        <v>167</v>
      </c>
      <c r="D2" s="8"/>
      <c r="F2" s="8" t="s">
        <v>169</v>
      </c>
      <c r="G2" s="8"/>
      <c r="I2" s="8" t="s">
        <v>171</v>
      </c>
      <c r="J2" s="8"/>
      <c r="K2" s="8"/>
      <c r="L2" s="8"/>
      <c r="N2" s="3" t="s">
        <v>165</v>
      </c>
      <c r="O2" t="s">
        <v>164</v>
      </c>
    </row>
    <row r="3" spans="3:32" x14ac:dyDescent="0.25">
      <c r="C3" s="3" t="s">
        <v>165</v>
      </c>
      <c r="D3" t="s">
        <v>164</v>
      </c>
      <c r="F3" s="3" t="s">
        <v>165</v>
      </c>
      <c r="G3" t="s">
        <v>168</v>
      </c>
      <c r="I3" s="3" t="s">
        <v>164</v>
      </c>
      <c r="J3" s="3" t="s">
        <v>170</v>
      </c>
      <c r="N3" s="4" t="s">
        <v>42</v>
      </c>
      <c r="O3" s="1">
        <v>23</v>
      </c>
      <c r="T3" s="3" t="s">
        <v>165</v>
      </c>
      <c r="U3" t="s">
        <v>164</v>
      </c>
      <c r="W3" s="3" t="s">
        <v>165</v>
      </c>
      <c r="X3" t="s">
        <v>164</v>
      </c>
      <c r="Y3" s="10" t="s">
        <v>173</v>
      </c>
      <c r="AB3" s="3" t="s">
        <v>165</v>
      </c>
      <c r="AC3" t="s">
        <v>174</v>
      </c>
      <c r="AE3" s="3" t="s">
        <v>165</v>
      </c>
      <c r="AF3" t="s">
        <v>164</v>
      </c>
    </row>
    <row r="4" spans="3:32" x14ac:dyDescent="0.25">
      <c r="C4" s="4" t="s">
        <v>59</v>
      </c>
      <c r="D4" s="1">
        <v>17</v>
      </c>
      <c r="F4" s="4" t="s">
        <v>102</v>
      </c>
      <c r="G4" s="1">
        <v>167041</v>
      </c>
      <c r="I4" s="3" t="s">
        <v>165</v>
      </c>
      <c r="J4" t="s">
        <v>22</v>
      </c>
      <c r="K4" t="s">
        <v>36</v>
      </c>
      <c r="L4" t="s">
        <v>166</v>
      </c>
      <c r="N4" s="4" t="s">
        <v>29</v>
      </c>
      <c r="O4" s="1">
        <v>8</v>
      </c>
      <c r="T4" s="4" t="s">
        <v>69</v>
      </c>
      <c r="U4" s="1">
        <v>12</v>
      </c>
      <c r="W4" s="4" t="s">
        <v>22</v>
      </c>
      <c r="X4" s="1">
        <v>26</v>
      </c>
      <c r="Y4" s="7">
        <f>(X4/X6)*100</f>
        <v>52</v>
      </c>
      <c r="Z4">
        <f>Y5</f>
        <v>48</v>
      </c>
      <c r="AB4" s="4" t="s">
        <v>102</v>
      </c>
      <c r="AC4" s="1">
        <v>28</v>
      </c>
      <c r="AE4" s="4" t="s">
        <v>38</v>
      </c>
      <c r="AF4" s="1">
        <v>14</v>
      </c>
    </row>
    <row r="5" spans="3:32" x14ac:dyDescent="0.25">
      <c r="C5" s="4" t="s">
        <v>28</v>
      </c>
      <c r="D5" s="1">
        <v>20</v>
      </c>
      <c r="F5" s="4" t="s">
        <v>39</v>
      </c>
      <c r="G5" s="1">
        <v>613842</v>
      </c>
      <c r="I5" s="4" t="s">
        <v>23</v>
      </c>
      <c r="J5" s="1">
        <v>6</v>
      </c>
      <c r="K5" s="1">
        <v>3</v>
      </c>
      <c r="L5" s="1">
        <v>9</v>
      </c>
      <c r="N5" s="4" t="s">
        <v>51</v>
      </c>
      <c r="O5" s="1">
        <v>19</v>
      </c>
      <c r="T5" s="4" t="s">
        <v>33</v>
      </c>
      <c r="U5" s="1">
        <v>11</v>
      </c>
      <c r="W5" s="4" t="s">
        <v>36</v>
      </c>
      <c r="X5" s="1">
        <v>24</v>
      </c>
      <c r="Y5" s="7">
        <f>(X5/X6)*100</f>
        <v>48</v>
      </c>
      <c r="Z5">
        <f>Y4</f>
        <v>52</v>
      </c>
      <c r="AB5" s="4" t="s">
        <v>39</v>
      </c>
      <c r="AC5" s="1">
        <v>110</v>
      </c>
      <c r="AE5" s="4" t="s">
        <v>24</v>
      </c>
      <c r="AF5" s="1">
        <v>10</v>
      </c>
    </row>
    <row r="6" spans="3:32" x14ac:dyDescent="0.25">
      <c r="C6" s="4" t="s">
        <v>95</v>
      </c>
      <c r="D6" s="1">
        <v>13</v>
      </c>
      <c r="F6" s="4" t="s">
        <v>67</v>
      </c>
      <c r="G6" s="1">
        <v>633594</v>
      </c>
      <c r="I6" s="4" t="s">
        <v>37</v>
      </c>
      <c r="J6" s="1">
        <v>7</v>
      </c>
      <c r="K6" s="1">
        <v>6</v>
      </c>
      <c r="L6" s="1">
        <v>13</v>
      </c>
      <c r="N6" s="4" t="s">
        <v>166</v>
      </c>
      <c r="O6" s="1">
        <v>50</v>
      </c>
      <c r="T6" s="4" t="s">
        <v>84</v>
      </c>
      <c r="U6" s="1">
        <v>7</v>
      </c>
      <c r="W6" s="4" t="s">
        <v>166</v>
      </c>
      <c r="X6" s="1">
        <v>50</v>
      </c>
      <c r="AB6" s="4" t="s">
        <v>67</v>
      </c>
      <c r="AC6" s="1">
        <v>104</v>
      </c>
      <c r="AE6" s="4" t="s">
        <v>89</v>
      </c>
      <c r="AF6" s="1">
        <v>7</v>
      </c>
    </row>
    <row r="7" spans="3:32" x14ac:dyDescent="0.25">
      <c r="C7" s="4" t="s">
        <v>166</v>
      </c>
      <c r="D7" s="1">
        <v>50</v>
      </c>
      <c r="F7" s="4" t="s">
        <v>48</v>
      </c>
      <c r="G7" s="1">
        <v>959266</v>
      </c>
      <c r="I7" s="4" t="s">
        <v>56</v>
      </c>
      <c r="J7" s="1">
        <v>5</v>
      </c>
      <c r="K7" s="1">
        <v>7</v>
      </c>
      <c r="L7" s="1">
        <v>12</v>
      </c>
      <c r="P7" s="8" t="s">
        <v>172</v>
      </c>
      <c r="Q7" s="8"/>
      <c r="R7" s="8"/>
      <c r="S7" s="8"/>
      <c r="T7" s="4" t="s">
        <v>53</v>
      </c>
      <c r="U7" s="1">
        <v>11</v>
      </c>
      <c r="AB7" s="4" t="s">
        <v>48</v>
      </c>
      <c r="AC7" s="1">
        <v>123</v>
      </c>
      <c r="AE7" s="4" t="s">
        <v>73</v>
      </c>
      <c r="AF7" s="1">
        <v>10</v>
      </c>
    </row>
    <row r="8" spans="3:32" x14ac:dyDescent="0.25">
      <c r="F8" s="4" t="s">
        <v>25</v>
      </c>
      <c r="G8" s="1">
        <v>731170</v>
      </c>
      <c r="I8" s="4" t="s">
        <v>86</v>
      </c>
      <c r="J8" s="1">
        <v>4</v>
      </c>
      <c r="K8" s="1">
        <v>3</v>
      </c>
      <c r="L8" s="1">
        <v>7</v>
      </c>
      <c r="N8" s="4" t="s">
        <v>42</v>
      </c>
      <c r="O8" s="1">
        <v>23</v>
      </c>
      <c r="P8" s="7">
        <f>(O8/50)*100</f>
        <v>46</v>
      </c>
      <c r="Q8" s="7">
        <f>100-P8</f>
        <v>54</v>
      </c>
      <c r="T8" s="4" t="s">
        <v>62</v>
      </c>
      <c r="U8" s="1">
        <v>9</v>
      </c>
      <c r="AB8" s="4" t="s">
        <v>25</v>
      </c>
      <c r="AC8" s="1">
        <v>122</v>
      </c>
      <c r="AE8" s="4" t="s">
        <v>47</v>
      </c>
      <c r="AF8" s="1">
        <v>9</v>
      </c>
    </row>
    <row r="9" spans="3:32" x14ac:dyDescent="0.25">
      <c r="F9" s="4" t="s">
        <v>166</v>
      </c>
      <c r="G9" s="1">
        <v>3104913</v>
      </c>
      <c r="I9" s="4" t="s">
        <v>64</v>
      </c>
      <c r="J9" s="1">
        <v>4</v>
      </c>
      <c r="K9" s="1">
        <v>5</v>
      </c>
      <c r="L9" s="1">
        <v>9</v>
      </c>
      <c r="N9" s="4" t="s">
        <v>29</v>
      </c>
      <c r="O9" s="1">
        <v>8</v>
      </c>
      <c r="P9" s="7">
        <f t="shared" ref="P9:P10" si="0">O9/50*100</f>
        <v>16</v>
      </c>
      <c r="Q9" s="7">
        <f>100-P9</f>
        <v>84</v>
      </c>
      <c r="T9" s="4" t="s">
        <v>166</v>
      </c>
      <c r="U9" s="1">
        <v>50</v>
      </c>
      <c r="AB9" s="4" t="s">
        <v>166</v>
      </c>
      <c r="AC9" s="1">
        <v>487</v>
      </c>
      <c r="AE9" s="4" t="s">
        <v>166</v>
      </c>
      <c r="AF9" s="1">
        <v>50</v>
      </c>
    </row>
    <row r="10" spans="3:32" x14ac:dyDescent="0.25">
      <c r="I10" s="4" t="s">
        <v>166</v>
      </c>
      <c r="J10" s="1">
        <v>26</v>
      </c>
      <c r="K10" s="1">
        <v>24</v>
      </c>
      <c r="L10" s="1">
        <v>50</v>
      </c>
      <c r="N10" s="4" t="s">
        <v>51</v>
      </c>
      <c r="O10" s="1">
        <v>19</v>
      </c>
      <c r="P10" s="7">
        <f t="shared" si="0"/>
        <v>38</v>
      </c>
      <c r="Q10" s="7">
        <f>100-P10</f>
        <v>62</v>
      </c>
    </row>
    <row r="11" spans="3:32" x14ac:dyDescent="0.25">
      <c r="N11" s="5" t="s">
        <v>166</v>
      </c>
      <c r="O11" s="6">
        <v>50</v>
      </c>
      <c r="T11" s="4" t="s">
        <v>69</v>
      </c>
      <c r="U11" s="1">
        <v>12</v>
      </c>
    </row>
    <row r="12" spans="3:32" x14ac:dyDescent="0.25">
      <c r="F12" s="4" t="s">
        <v>102</v>
      </c>
      <c r="I12" s="4" t="s">
        <v>23</v>
      </c>
      <c r="T12" s="4" t="s">
        <v>33</v>
      </c>
      <c r="U12" s="1">
        <v>11</v>
      </c>
    </row>
    <row r="13" spans="3:32" x14ac:dyDescent="0.25">
      <c r="F13" s="4" t="s">
        <v>39</v>
      </c>
      <c r="I13" s="4" t="s">
        <v>37</v>
      </c>
      <c r="T13" s="4" t="s">
        <v>84</v>
      </c>
      <c r="U13" s="1">
        <v>7</v>
      </c>
    </row>
    <row r="14" spans="3:32" x14ac:dyDescent="0.25">
      <c r="F14" s="4" t="s">
        <v>67</v>
      </c>
      <c r="I14" s="4" t="s">
        <v>56</v>
      </c>
      <c r="T14" s="4" t="s">
        <v>53</v>
      </c>
      <c r="U14" s="1">
        <v>11</v>
      </c>
    </row>
    <row r="15" spans="3:32" x14ac:dyDescent="0.25">
      <c r="F15" s="4" t="s">
        <v>48</v>
      </c>
      <c r="I15" s="4" t="s">
        <v>86</v>
      </c>
      <c r="T15" s="4" t="s">
        <v>62</v>
      </c>
      <c r="U15" s="1">
        <v>9</v>
      </c>
    </row>
    <row r="16" spans="3:32" x14ac:dyDescent="0.25">
      <c r="F16" s="4" t="s">
        <v>25</v>
      </c>
      <c r="I16" s="4" t="s">
        <v>64</v>
      </c>
    </row>
  </sheetData>
  <mergeCells count="4">
    <mergeCell ref="C2:D2"/>
    <mergeCell ref="F2:G2"/>
    <mergeCell ref="I2:L2"/>
    <mergeCell ref="P7:S7"/>
  </mergeCells>
  <pageMargins left="0.7" right="0.7" top="0.75" bottom="0.75" header="0.3" footer="0.3"/>
  <pageSetup orientation="portrait" r:id="rId9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0FC9E-097C-4C38-93AF-7D1FB4604167}">
  <dimension ref="A1"/>
  <sheetViews>
    <sheetView showGridLines="0" workbookViewId="0">
      <selection activeCell="H4" sqref="H4"/>
    </sheetView>
  </sheetViews>
  <sheetFormatPr defaultRowHeight="15" x14ac:dyDescent="0.25"/>
  <cols>
    <col min="1" max="16384" width="9.140625" style="9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1B6720-0935-4427-BD7A-F9D985D931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Sheet1</vt:lpstr>
      <vt:lpstr>Pivot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Deb</dc:creator>
  <cp:lastModifiedBy>Sourav Deb</cp:lastModifiedBy>
  <dcterms:created xsi:type="dcterms:W3CDTF">2026-05-11T15:21:15Z</dcterms:created>
  <dcterms:modified xsi:type="dcterms:W3CDTF">2026-05-12T15:55:09Z</dcterms:modified>
</cp:coreProperties>
</file>